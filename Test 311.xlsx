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f18017828\Desktop\Новая папка\"/>
    </mc:Choice>
  </mc:AlternateContent>
  <xr:revisionPtr revIDLastSave="0" documentId="13_ncr:1_{5C68B0ED-9CA1-4680-9748-9E80F04947F2}" xr6:coauthVersionLast="36" xr6:coauthVersionMax="36" xr10:uidLastSave="{00000000-0000-0000-0000-000000000000}"/>
  <bookViews>
    <workbookView xWindow="0" yWindow="0" windowWidth="28800" windowHeight="12105" xr2:uid="{00000000-000D-0000-FFFF-FFFF00000000}"/>
  </bookViews>
  <sheets>
    <sheet name="output_with_finetuned" sheetId="1" r:id="rId1"/>
    <sheet name="ChatGPT – Medicine" sheetId="2" r:id="rId2"/>
    <sheet name="ChatGPT – Legal" sheetId="4" r:id="rId3"/>
    <sheet name="ChatGPT – Fiction" sheetId="5" r:id="rId4"/>
    <sheet name="ChatGPT – Oral" sheetId="6" r:id="rId5"/>
    <sheet name="ChatGPT – Scientific" sheetId="7" r:id="rId6"/>
    <sheet name="Chatgpt" sheetId="8" r:id="rId7"/>
    <sheet name="Medical Corpus" sheetId="9" r:id="rId8"/>
    <sheet name="Scientific Papers" sheetId="10" r:id="rId9"/>
  </sheets>
  <definedNames>
    <definedName name="_xlnm._FilterDatabase" localSheetId="6" hidden="1">Chatgpt!$C$1:$G$951</definedName>
    <definedName name="_xlnm._FilterDatabase" localSheetId="3" hidden="1">'ChatGPT – Fiction'!$A$2:$F$51</definedName>
    <definedName name="_xlnm._FilterDatabase" localSheetId="2" hidden="1">'ChatGPT – Legal'!$A$2:$F$50</definedName>
    <definedName name="_xlnm._FilterDatabase" localSheetId="1" hidden="1">'ChatGPT – Medicine'!$A$2:$G$53</definedName>
    <definedName name="_xlnm._FilterDatabase" localSheetId="4" hidden="1">'ChatGPT – Oral'!$A$2:$F$58</definedName>
    <definedName name="_xlnm._FilterDatabase" localSheetId="5" hidden="1">'ChatGPT – Scientific'!$A$2:$F$61</definedName>
    <definedName name="_xlnm._FilterDatabase" localSheetId="7" hidden="1">'Medical Corpus'!$A$2:$F$1000</definedName>
    <definedName name="_xlnm._FilterDatabase" localSheetId="0" hidden="1">output_with_finetuned!$C$1:$G$1000</definedName>
  </definedNames>
  <calcPr calcId="191029"/>
  <extLst>
    <ext uri="GoogleSheetsCustomDataVersion2">
      <go:sheetsCustomData xmlns:go="http://customooxmlschemas.google.com/" r:id="rId14" roundtripDataChecksum="1xcfKfyUZXdFYcO3CqOeazVNxKEjg51ppVMd+aGxde8="/>
    </ext>
  </extLst>
</workbook>
</file>

<file path=xl/calcChain.xml><?xml version="1.0" encoding="utf-8"?>
<calcChain xmlns="http://schemas.openxmlformats.org/spreadsheetml/2006/main">
  <c r="F48" i="9" l="1"/>
  <c r="E48" i="9"/>
  <c r="F260" i="8"/>
  <c r="E260" i="8"/>
  <c r="E62" i="7"/>
  <c r="F52" i="6"/>
  <c r="E52" i="6"/>
  <c r="F313" i="1"/>
  <c r="E313" i="1"/>
  <c r="F52" i="5" l="1"/>
  <c r="P15" i="10" l="1"/>
  <c r="O15" i="10"/>
  <c r="F62" i="7"/>
  <c r="E52" i="5"/>
  <c r="F51" i="4"/>
  <c r="E51" i="4"/>
  <c r="G51" i="2"/>
  <c r="F51" i="2"/>
</calcChain>
</file>

<file path=xl/sharedStrings.xml><?xml version="1.0" encoding="utf-8"?>
<sst xmlns="http://schemas.openxmlformats.org/spreadsheetml/2006/main" count="4982" uniqueCount="901">
  <si>
    <t>English</t>
  </si>
  <si>
    <t>baga gpt-4.1-fine-tuned</t>
  </si>
  <si>
    <t>baga chatgpt</t>
  </si>
  <si>
    <t>The wind rustled through the autumn leaves.</t>
  </si>
  <si>
    <t>Күзгі жапырақтардың арасынан жел сыбдырлады.</t>
  </si>
  <si>
    <t>Жел күзгі жапырақтарды сыбдырлатып өтті.</t>
  </si>
  <si>
    <t>0,7</t>
  </si>
  <si>
    <t>He carved a wooden toy for his nephew.</t>
  </si>
  <si>
    <t>Ол жиеніне ағаш ойыншық жонып жасады.</t>
  </si>
  <si>
    <t>Ол жиеніне ағаш ойыншық ойып жасады.</t>
  </si>
  <si>
    <t>She baked a chocolate cake for the party.</t>
  </si>
  <si>
    <t>Ол кешке арналған шоколадты торт пісірді.</t>
  </si>
  <si>
    <t>They danced barefoot on the warm sand.</t>
  </si>
  <si>
    <t>Олар жылы құмда жалаңаяқ биледі.</t>
  </si>
  <si>
    <t>Олар жылы құмда жалаңаяқ би биледі.</t>
  </si>
  <si>
    <t>0,8</t>
  </si>
  <si>
    <t>The cat stretched lazily on the windowsill.</t>
  </si>
  <si>
    <t>Мысық терезе алдындағы орындықта керіліп жатты.</t>
  </si>
  <si>
    <t>He watched the rain drip from the rooftop.</t>
  </si>
  <si>
    <t>Ол шатырдан тамған жаңбыр тамшыларын бақылап отырды.</t>
  </si>
  <si>
    <t>She knitted a scarf with blue yarn.</t>
  </si>
  <si>
    <t>Ол көк жіптен шарф тоқыды.</t>
  </si>
  <si>
    <t>Ол көк жіптен орамал  тоқыды.</t>
  </si>
  <si>
    <t>0,9</t>
  </si>
  <si>
    <t>The children built a fort out of blankets.</t>
  </si>
  <si>
    <t>Балалар көрпелерден қорған жасап алды.</t>
  </si>
  <si>
    <t>He fed the ducks at the pond.</t>
  </si>
  <si>
    <t>Ол тоғандағы үйректерге жем берді.</t>
  </si>
  <si>
    <t>She trimmed the roses in the garden.</t>
  </si>
  <si>
    <t>Ол бақтағы раушан гүлдерін қиды.</t>
  </si>
  <si>
    <t>They listened to old records by candlelight.</t>
  </si>
  <si>
    <t>Олар шам жарығымен ескі пластинкаларды тыңдады.</t>
  </si>
  <si>
    <t>Олар шам жарығында ескі жазбаларды тыңдады.</t>
  </si>
  <si>
    <t>Олар шам жарығымен ескі жазбаларды тыңдады.</t>
  </si>
  <si>
    <t>The fox darted into the forest.</t>
  </si>
  <si>
    <t>Түлкі орманға қарай зу етіп кіріп кетті.</t>
  </si>
  <si>
    <t>He carried firewood to the cabin.</t>
  </si>
  <si>
    <t>Ол лашыққа отын тасып әкелді.</t>
  </si>
  <si>
    <t>She sewed a patch onto her jeans.</t>
  </si>
  <si>
    <t>Ол джинсына жамау тікті.</t>
  </si>
  <si>
    <t>The toddler hugged his stuffed bear tightly.</t>
  </si>
  <si>
    <t>Бөбек жұмсақ аюын қатты құшақтап алды.</t>
  </si>
  <si>
    <t>They watched clouds drift across the sky.</t>
  </si>
  <si>
    <t>Олар аспанда қалықтаған бұлттарды тамашалады.</t>
  </si>
  <si>
    <t>He polished his shoes before the interview.</t>
  </si>
  <si>
    <t>Ол әңгімелесудің алдында аяқ киімін жылтыратты.</t>
  </si>
  <si>
    <t>She drew tiny stars in her notebook.</t>
  </si>
  <si>
    <t>Ол дәптеріне кішкентай жұлдыздар салып отырды.</t>
  </si>
  <si>
    <t>The squirrel buried an acorn near the tree.</t>
  </si>
  <si>
    <t>Тиін ағаш түбіне емен жаңғағын көмді.</t>
  </si>
  <si>
    <t>He whistled a tune while working.</t>
  </si>
  <si>
    <t>Ол жұмыс істеп жүріп, ысқырып әуен салды.</t>
  </si>
  <si>
    <t>She watered the houseplants carefully.</t>
  </si>
  <si>
    <t>Ол бөлме гүлдерін мұқият суарды.</t>
  </si>
  <si>
    <t>They wrapped gifts in colorful paper.</t>
  </si>
  <si>
    <t>Олар сыйлықтарды түрлі-түсті қағазға орады.</t>
  </si>
  <si>
    <t>The kids jumped into puddles after the rain.</t>
  </si>
  <si>
    <t>Жаңбырдан кейін балалар шалшықтарға секірді.</t>
  </si>
  <si>
    <t>He snapped a photo of the rainbow.</t>
  </si>
  <si>
    <t>Ол кемпірқосақтың суретін түсіріп алды.</t>
  </si>
  <si>
    <t>Ол кемпірқосақты суретке түсірді.</t>
  </si>
  <si>
    <t>She hummed a melody while cooking.</t>
  </si>
  <si>
    <t>Ол тамақ пісіріп жүріп, әуен ыңылдады.</t>
  </si>
  <si>
    <t>Ол тамақ пісіріп жүріп, әуен айтты.</t>
  </si>
  <si>
    <t>They gathered around the bonfire.</t>
  </si>
  <si>
    <t>Олар алаудың айналасына жиналды.</t>
  </si>
  <si>
    <t>Олар оттың айналасына жиналды.</t>
  </si>
  <si>
    <t>The bee buzzed from flower to flower.</t>
  </si>
  <si>
    <t>Ара гүлден гүлге ұшып, ызыңдады.</t>
  </si>
  <si>
    <t>Ара гүлден гүлге ұшып, ызылдады.</t>
  </si>
  <si>
    <t>He tossed a pebble into the lake.</t>
  </si>
  <si>
    <t>Ол көлге майда тас лақтырды.</t>
  </si>
  <si>
    <t>Ол көлге шағын тас лақтырды.</t>
  </si>
  <si>
    <t>She opened the window to let in fresh air.</t>
  </si>
  <si>
    <t>Ол таза ауа кірсін деп терезені ашты.</t>
  </si>
  <si>
    <t>They read fairy tales before bedtime.</t>
  </si>
  <si>
    <t>Олар ұйықтар алдында ертегі оқыды.</t>
  </si>
  <si>
    <t>The horse galloped across the field.</t>
  </si>
  <si>
    <t>Жылқы далада шауып өтті.</t>
  </si>
  <si>
    <t>Жылқы далада жүгіре өтті.</t>
  </si>
  <si>
    <t>He planted tomatoes in the backyard.</t>
  </si>
  <si>
    <t>Ол аулада қызанақ отырғызды.</t>
  </si>
  <si>
    <t>She lit a lantern at dusk.</t>
  </si>
  <si>
    <t>Ол ымыртта шам жағты.</t>
  </si>
  <si>
    <t>Ол күн батқанда шамды жақты.</t>
  </si>
  <si>
    <t>They shared stories by the fire.</t>
  </si>
  <si>
    <t>Олар от қасында әңгіме айтып отырды.</t>
  </si>
  <si>
    <t>The owl hooted in the darkness.</t>
  </si>
  <si>
    <t>Үкі түнде уілімен үн қатты.</t>
  </si>
  <si>
    <t>He brewed tea for his guests.</t>
  </si>
  <si>
    <t>Ол қонақтарына шай демдеді.</t>
  </si>
  <si>
    <t>Ол қонақтарына шай дайындады.</t>
  </si>
  <si>
    <t>She brushed her hair slowly.</t>
  </si>
  <si>
    <t>Ол шашын баяу тарап отырды.</t>
  </si>
  <si>
    <t>Ол шашын жайлап тарап отырды.</t>
  </si>
  <si>
    <t>They watched the waves crash on the shore.</t>
  </si>
  <si>
    <t>Олар жағаға соққан толқындарды бақылап тұрды.</t>
  </si>
  <si>
    <t>The fire crackled softly in the fireplace.</t>
  </si>
  <si>
    <t>Каминдегі от жаймен сытырлады.</t>
  </si>
  <si>
    <t>От пеште  жаймен сытырлады.</t>
  </si>
  <si>
    <t>He stitched a tear in his jacket.</t>
  </si>
  <si>
    <t>Ол күртешесінің жыртығын тігіп қойды.</t>
  </si>
  <si>
    <t>She dipped her feet in the cool stream.</t>
  </si>
  <si>
    <t>Ол аяғын салқын бұлаққа малып алды.</t>
  </si>
  <si>
    <t>The wind chimes tinkled in the breeze.</t>
  </si>
  <si>
    <t>Желге ілінген қоңыраушалар сыңғырлады.</t>
  </si>
  <si>
    <t>Желдің үнімен жел қоңыраулары сыңғырлады.</t>
  </si>
  <si>
    <t>He packed his bag for the trip.</t>
  </si>
  <si>
    <t>Ол сапарға арнап сөмкесін жинады.</t>
  </si>
  <si>
    <t>She smiled at the sleeping cat.</t>
  </si>
  <si>
    <t>Ол ұйықтап жатқан мысыққа қарап жымиды.</t>
  </si>
  <si>
    <t>Ол ұйықтап жатқан мысыққа қарап күлімдеді.</t>
  </si>
  <si>
    <t>They roasted marshmallows over the fire.</t>
  </si>
  <si>
    <t>Олар от үстінде зефир қуырып жеді.</t>
  </si>
  <si>
    <t>The candle flickered in the dark room.</t>
  </si>
  <si>
    <t>Қараңғы бөлмеде шамның жалыны жымыңдады.</t>
  </si>
  <si>
    <t>. He raked leaves in the front yard.</t>
  </si>
  <si>
    <t>Ол аулада жапырақтарды тырмалады.</t>
  </si>
  <si>
    <t>She scribbled notes in the margin.</t>
  </si>
  <si>
    <t>Ол шетке жазбалар түртіп қойды.</t>
  </si>
  <si>
    <t>Ол парақтың жиегіне жазбалар жазды.</t>
  </si>
  <si>
    <t>They waved goodbye from the train.</t>
  </si>
  <si>
    <t>Олар пойыздан қол бұлғап қоштасты.</t>
  </si>
  <si>
    <t>The puppy barked at its reflection.</t>
  </si>
  <si>
    <t>Күшік айнадағы өз бейнесіне үрді.</t>
  </si>
  <si>
    <t>A genetic test was conducted to identify inherited conditions.</t>
  </si>
  <si>
    <t>Тұқым қуалайтын ауруларды анықтау үшін генетикалық тест жүргізілді.</t>
  </si>
  <si>
    <t>Тұқым қуалайтын ауруларды анықтау мақсатында генетикалық талдау жасалды.</t>
  </si>
  <si>
    <t>The nurse monitored the patient’s vital signs every hour.</t>
  </si>
  <si>
    <t>Мейірбике әр сағат сайын науқастың өмірлік көрсеткіштерін бақылап отырды.</t>
  </si>
  <si>
    <t>Медбике әр сағат сайын науқастың өмірлік көрсеткіштерін бақылап отырды.</t>
  </si>
  <si>
    <t>The treatment protocol was adjusted due to adverse reactions.</t>
  </si>
  <si>
    <t>Кері әсерлерге байланысты емдеу хаттамасы қайта қаралды.</t>
  </si>
  <si>
    <t>The patient responded positively to the experimental drug.</t>
  </si>
  <si>
    <t>Науқас тәжірибелік дәріге жақсы жауап берді.</t>
  </si>
  <si>
    <t>Early rehabilitation significantly improved motor function.</t>
  </si>
  <si>
    <t>Ерте реабилитация қозғалыс функциясын айтарлықтай жақсартты.</t>
  </si>
  <si>
    <t>A follow-up scan was scheduled to monitor disease progression.</t>
  </si>
  <si>
    <t>Аурудың дамуын бақылау үшін қайталама сканерлеу жоспарланды.</t>
  </si>
  <si>
    <t>Аурудың даму үрдісін қадағалау үшін кейінгі сканерлеу тағайындалды.</t>
  </si>
  <si>
    <t>The surgical team prepared for a high-risk cardiac procedure.</t>
  </si>
  <si>
    <t>Хирургиялық топ жоғары қауіптегі жүрек операциясына дайындалды.</t>
  </si>
  <si>
    <t>Хирургиялық топ жоғары қауіптегі жүрек отасына дайындалды.</t>
  </si>
  <si>
    <t>Immunization records were updated during the consultation.</t>
  </si>
  <si>
    <t>Вакцинация жазбалары қабылдау кезінде жаңартылды.</t>
  </si>
  <si>
    <t>Егу тарихы қабылдау кезінде жаңартылды.</t>
  </si>
  <si>
    <t>The therapist designed a personalized recovery plan.</t>
  </si>
  <si>
    <t>Терапевт жеке оңалту жоспарын әзірледі.</t>
  </si>
  <si>
    <t>Терапевт жеке  емделу жоспарын әзірледі.</t>
  </si>
  <si>
    <t>Терапевт емдеу жоспарын жеке түрде жасады.</t>
  </si>
  <si>
    <t>Lab technicians processed the blood samples for analysis.</t>
  </si>
  <si>
    <t>Зертхана қызметкерлері қан үлгілерін талдауға дайындады.</t>
  </si>
  <si>
    <t>The patient exhibited symptoms consistent with autoimmune disease.</t>
  </si>
  <si>
    <t>Науқаста аутоиммундық ауруға тән белгілер байқалды.</t>
  </si>
  <si>
    <t>The specialist recommended further imaging for accurate diagnosis.</t>
  </si>
  <si>
    <t>Дәл диагноз қою үшін маман қосымша визуализация ұсынды.</t>
  </si>
  <si>
    <t>Дәл диагноз қою үшін маман қосымша бейнелеу әдістерін қолдануды ұсынды.</t>
  </si>
  <si>
    <t>Дәл диагноз қою үшін маман қосымша зерттеу жүргізуді ұсынды.</t>
  </si>
  <si>
    <t>Dietary changes were implemented to support liver function.</t>
  </si>
  <si>
    <t>Бауыр қызметін қолдау үшін тамақтану тәртібі өзгертілді.</t>
  </si>
  <si>
    <t>Бауыр қызметін дұрыс жұмыс істеуін қамтамасыз ету үшін тамақтану тәртібі өзгертілді.</t>
  </si>
  <si>
    <t>Бауыр қызметін жақсарту үшін тамақтану әдеттері түзетілді.</t>
  </si>
  <si>
    <t>0,6</t>
  </si>
  <si>
    <t>A second opinion was sought to confirm the initial assessment.</t>
  </si>
  <si>
    <t>Бастапқы бағалауды растау үшін екінші пікір алынды.</t>
  </si>
  <si>
    <t>Бастапқы бағалауды растау үшін екінші қорытынды  алынды.</t>
  </si>
  <si>
    <t>Бастапқы бағалауды растау мақсатында қосымша сараптама жүргізілді.</t>
  </si>
  <si>
    <t>Patient education focused on medication adherence and self-care.</t>
  </si>
  <si>
    <t>Науқасқа дәріні уақытылы қабылдау мен өзін-өзі күтудің маңызы түсіндірілді.</t>
  </si>
  <si>
    <t>The clinic introduced new infection control protocols.</t>
  </si>
  <si>
    <t>Клиникада жұқпаларды бақылауға арналған жаңа хаттамалар енгізілді.</t>
  </si>
  <si>
    <t>Емханада жұқпаларды бақылауға арналған жаңа хаттамалар енгізілді.</t>
  </si>
  <si>
    <t>Клиникада инфекцияларды бақылау үшін жаңа ережелер қабылданды.</t>
  </si>
  <si>
    <t>Chronic fatigue was attributed to hormonal imbalance.</t>
  </si>
  <si>
    <t>Созылмалы шаршау гормондық теңгерімсіздікпен байланысты болды.</t>
  </si>
  <si>
    <t>The pain management strategy included both pharmacological and non-pharmacological methods.</t>
  </si>
  <si>
    <t>Ауырсынуды басқару стратегиясы дәрілік және дәрісіз әдістерді қамтыды.</t>
  </si>
  <si>
    <t>Ауырсынуды басқару жоспары дәрілік және дәрілік емес әдістерді қолдануды көздеді.</t>
  </si>
  <si>
    <t>The hospital upgraded its radiology equipment for better accuracy.</t>
  </si>
  <si>
    <t>Аурухана нақты нәтиже үшін радиология жабдықтарын жаңартты.</t>
  </si>
  <si>
    <t>Аурухана нақтылы нәтиже үшін радиология жабдықтарын жаңартты.</t>
  </si>
  <si>
    <t>A rare infectious disease was detected during routine screening.</t>
  </si>
  <si>
    <t>Жоспарлы тексеру кезінде сирек кездесетін жұқпалы ауру анықталды.</t>
  </si>
  <si>
    <t>The cardiologist ordered an echocardiogram to assess heart function.</t>
  </si>
  <si>
    <t>Кардиолог жүрек қызметін бағалау үшін эхокардиограмма тағайындады.</t>
  </si>
  <si>
    <t>Кардиолог жүрек қызметін тексеру үшін эхокардиограмма тағайындады.</t>
  </si>
  <si>
    <t>The patient was enrolled in a clinical trial for a novel therapy.</t>
  </si>
  <si>
    <t>Науқас жаңа ем әдісіне арналған клиникалық зерттеуге тіркелді.</t>
  </si>
  <si>
    <t>Науқас жаңа ем әдісіне арналған емханалық зерттеуге тіркелді.</t>
  </si>
  <si>
    <t>Науқас жаңа емдеу әдісіне қатысты клиникалық сынаққа қабылданды.</t>
  </si>
  <si>
    <t>The wound healed faster due to proper dressing and hygiene.</t>
  </si>
  <si>
    <t>Жара дұрыс таңғыш пен гигиенаның арқасында тез жазылды.</t>
  </si>
  <si>
    <t>Жара жарамды таңғыш пен гигиенаның арқасында тез жазылды.</t>
  </si>
  <si>
    <t>The endocrinologist adjusted the insulin dosage after evaluation.</t>
  </si>
  <si>
    <t>Эндокринолог бағалаудан кейін инсулин мөлшерін өзгертті.</t>
  </si>
  <si>
    <t>Эндокринолог тексерістен кейін инсулин дозасын өзгертуге шешім қабылдады.</t>
  </si>
  <si>
    <t>A sudden drop in blood pressure required emergency care.</t>
  </si>
  <si>
    <t>Қан қысымының күрт төмендеуі шұғыл көмек көрсетуді қажет етті.</t>
  </si>
  <si>
    <t>The neurologist observed involuntary muscle movements.</t>
  </si>
  <si>
    <t>Невролог еріксіз бұлшықет қозғалыстарын байқады.</t>
  </si>
  <si>
    <t>Flu vaccination was recommended ahead of the winter season.</t>
  </si>
  <si>
    <t>Қыс мезгіліне дейін тұмауға қарсы вакцина алу ұсынылды.</t>
  </si>
  <si>
    <t>Қыс мезгіліне дейін тұмауға қарсы  екпе алу ұсынылды.</t>
  </si>
  <si>
    <t>The patient’s recovery was closely monitored post-surgery.</t>
  </si>
  <si>
    <t>Отадан кейін науқастың қалпына келуі мұқият бақыланды.</t>
  </si>
  <si>
    <t>Науқастың отадан кейін қалпына келуі жіті бақылауда болды.</t>
  </si>
  <si>
    <t>The dermatologist prescribed a topical ointment for the rash.</t>
  </si>
  <si>
    <t>Дерматолог бөртпеге арналған жақпа май тағайындады.</t>
  </si>
  <si>
    <t>The physiotherapist introduced new exercises to restore mobility.</t>
  </si>
  <si>
    <t>Физиотерапевт қозғалысты қалпына келтіру үшін жаңа жаттығулар ұсынды.</t>
  </si>
  <si>
    <t>Test results indicated elevated liver enzymes.</t>
  </si>
  <si>
    <t>Талдау нәтижелері бауыр ферменттерінің жоғарылағанын көрсетті.</t>
  </si>
  <si>
    <t>Зерттеу нәтижелері бауыр ферменттерінің жоғарылағанын көрсетті.</t>
  </si>
  <si>
    <t>The oncologist reviewed the biopsy results in detail.</t>
  </si>
  <si>
    <t>Онколог биопсия нәтижелерін мұқият қарастырды.</t>
  </si>
  <si>
    <t>Smoking cessation was strongly advised during the consultation.</t>
  </si>
  <si>
    <t>Қабылдау кезінде темекіні тастау қатаң түрде ұсынылды.</t>
  </si>
  <si>
    <t>Науқас темекі шегуді тоқтатуға кеңес алды.</t>
  </si>
  <si>
    <t>Antibiotics were discontinued after signs of allergic reaction.</t>
  </si>
  <si>
    <t>Аллергиялық реакция белгілерінен кейін антибиотиктер тоқтатылды.</t>
  </si>
  <si>
    <t>Аллергиялық реакция белгілерінің пайда болуынан кейін антибиотиктер тоқтатылды.</t>
  </si>
  <si>
    <t>The patient's mental health was evaluated using standardized tools.</t>
  </si>
  <si>
    <t>Науқастың психикалық денсаулығы стандартталған құралдармен бағаланды.</t>
  </si>
  <si>
    <t>Науқастың психикалық жағдайы стандартталған құралдар арқылы бағаланды.</t>
  </si>
  <si>
    <t>The rehabilitation plan included speech and occupational therapy.</t>
  </si>
  <si>
    <t>Оңалту жоспарына сөйлеу және еңбек терапиясы енгізілді.</t>
  </si>
  <si>
    <t>Қалпына келтіру жоспарына сөйлеу және еңбек терапиясы енгізілді.</t>
  </si>
  <si>
    <t>A nutritionist developed a meal plan tailored to the patient’s needs.</t>
  </si>
  <si>
    <t>Диетолог науқастың қажеттіліктеріне сай тағам мәзірін жасады.</t>
  </si>
  <si>
    <t>Диетолог науқастың сұраныстарына сәйкес диеталық мәзір құрастырды.</t>
  </si>
  <si>
    <t>Emergency surgery was performed due to internal bleeding.</t>
  </si>
  <si>
    <t>Ішкі қан кету салдарынан шұғыл ота жасалды.</t>
  </si>
  <si>
    <t>The medical team discussed alternative treatment options.</t>
  </si>
  <si>
    <t>Медициналық топ балама емдеу әдістерін талқылады.</t>
  </si>
  <si>
    <t>Медициналық топ баламалы емдеу әдістерін қарастырды.</t>
  </si>
  <si>
    <t>The infant was placed under observation for respiratory issues.</t>
  </si>
  <si>
    <t>Сәбидің тыныс алуына байланысты бақылауға алынды.</t>
  </si>
  <si>
    <t>Physical activity was limited during the recovery phase.</t>
  </si>
  <si>
    <t>Қалпына келу кезеңінде физикалық белсенділік шектелді.</t>
  </si>
  <si>
    <t>The therapist evaluated cognitive function after the injury.</t>
  </si>
  <si>
    <t>Терапевт жарақаттан кейінгі когнитивті функцияны бағалады.</t>
  </si>
  <si>
    <t>Терапевт жарақаттан кейінгі танымдық функцияны зерттеді.</t>
  </si>
  <si>
    <t>A mild fever developed after vaccination, which was expected.</t>
  </si>
  <si>
    <t>Вакцинадан кейін жеңіл қызу пайда болды, бұл қалыпты жағдай еді.</t>
  </si>
  <si>
    <t>Вакцина салдырғаннан кейін аздап қызу пайда болды, бұл қалыпты жағдай еді.</t>
  </si>
  <si>
    <t>The diagnostic procedure required patient sedation.</t>
  </si>
  <si>
    <t>Диагностикалық процедура үшін науқасқа тыныштандырғыш берілді.</t>
  </si>
  <si>
    <t>Науқасқа диагностикалық процедура үшін тыныштандырғыш берілді.</t>
  </si>
  <si>
    <t>The patient regained consciousness within an hour after anesthesia.</t>
  </si>
  <si>
    <t>Науқас анестезиядан кейін бір сағат ішінде есін жиды.</t>
  </si>
  <si>
    <t>A multidisciplinary team managed the complex case.</t>
  </si>
  <si>
    <t>Күрделі жағдайды бірнеше маманнан құралған топ басқарды.</t>
  </si>
  <si>
    <t>The hearing test revealed moderate hearing loss.</t>
  </si>
  <si>
    <t>Есту тексерісі орташа деңгейдегі есту қабілетінің төмендігін көрсетті.</t>
  </si>
  <si>
    <t>Cholesterol levels improved after dietary modifications.</t>
  </si>
  <si>
    <t>Тағам мәзірін өзгерткеннен кейін холестерин деңгейі жақсарды.</t>
  </si>
  <si>
    <t>The transplant surgery was declared a success.</t>
  </si>
  <si>
    <t>Трансплантация отасы сәтті өтті деп танылды.</t>
  </si>
  <si>
    <t>Трансплантация операциясы сәтті өтті деп танылды.</t>
  </si>
  <si>
    <t>The algorithm incorporates deep learning for pattern recognition.</t>
  </si>
  <si>
    <t>Алгоритм үлгілерді тану үшін терең үйренуді қолданады.</t>
  </si>
  <si>
    <t>Алгоритм үлгілерді анықтау мақсатында терең оқытуды пайдаланады.</t>
  </si>
  <si>
    <t>She applied corpus analysis to examine syntactic variation.</t>
  </si>
  <si>
    <t>Ол синтаксистік әртүрлілікті зерттеу үшін корпустық талдауды қолданды.</t>
  </si>
  <si>
    <t>Ол синтаксистік өзгерістерді зерттеу мақсатында корпус талдауын пайдаланды.</t>
  </si>
  <si>
    <t>The simulation results supported the theoretical framework.</t>
  </si>
  <si>
    <t>Модельдеу нәтижелері теориялық құрылымды қолдады.</t>
  </si>
  <si>
    <t>Модельдеу нәтижелері теориялық құрылымды растады.</t>
  </si>
  <si>
    <t>Researchers deployed drones to monitor deforestation rates.</t>
  </si>
  <si>
    <t>Зерттеушілер орман кесу қарқынын бақылау үшін дрондар қолданды.</t>
  </si>
  <si>
    <t>His study addresses ethical concerns in artificial intelligence deployment.</t>
  </si>
  <si>
    <t>Оның зерттеуі жасанды интеллектті қолданудағы этикалық мәселелерге назар аударады.</t>
  </si>
  <si>
    <t>They extracted key features using principal component analysis.</t>
  </si>
  <si>
    <t>Олар негізгі белгілерді басты компоненттер талдауы арқылы анықтады.</t>
  </si>
  <si>
    <t>The tool was built using open-source geospatial libraries.</t>
  </si>
  <si>
    <t>Құрал ашық кодты геокеңістіктік кітапханалар арқылы жасалды.</t>
  </si>
  <si>
    <t>The team proposed a multilingual model for low-resource languages.</t>
  </si>
  <si>
    <t>Топ ресурсы аз тілдерге арналған көптілді үлгі ұсынды.</t>
  </si>
  <si>
    <t>Real-time data feeds were integrated into the dashboard.</t>
  </si>
  <si>
    <t>Нақты уақыттағы дерек ағындары бақылау панеліне біріктірілді.</t>
  </si>
  <si>
    <t>The device relies on sensor fusion for accurate positioning.</t>
  </si>
  <si>
    <t>Құрылғы дәл позицияны анықтау үшін сенсорларды біріктіруді пайдаланады.</t>
  </si>
  <si>
    <t>Құрылғы дәл орналасуды анықтау үшін сенсорларды біріктіреді.</t>
  </si>
  <si>
    <t>She conducted a phonetic analysis of vowel harmony in Turkic languages.</t>
  </si>
  <si>
    <t>Ол түркі тілдеріндегі дауысты үндестігінің фонетикалық талдауын жүргізді.</t>
  </si>
  <si>
    <t>The researchers modeled disease transmission using stochastic processes.</t>
  </si>
  <si>
    <t>Зерттеушілер аурудың таралуын стохастикалық үдерістер арқылы модельдеді.</t>
  </si>
  <si>
    <t>Crowdsourced data improved the accuracy of the language map.</t>
  </si>
  <si>
    <t>Краудсорсинг арқылы алынған деректер тіл картасының дәлдігін арттырды.</t>
  </si>
  <si>
    <t>Краудсорсинг арқылы жиналған мәліметтер тіл картасының нақтылығын жақсартты.</t>
  </si>
  <si>
    <t>The prototype was tested under various environmental conditions.</t>
  </si>
  <si>
    <t>Прототип әртүрлі орта жағдайларында сынақтан өткізілді.</t>
  </si>
  <si>
    <t>Прототип түрлі орта жағдайларында тексерілді.</t>
  </si>
  <si>
    <t>He explored the impact of language policy on minority groups.</t>
  </si>
  <si>
    <t>Ол тіл саясатының аз ұлттарға әсерін зерттеді.</t>
  </si>
  <si>
    <t>Natural language processing tools were used for text classification.</t>
  </si>
  <si>
    <t>Мәтінді жіктеу үшін табиғи тілдерді өңдеу құралдары қолданылды.</t>
  </si>
  <si>
    <t>Мәтінді жіктеу мақсатында табиғи тілдерді өңдеу әдістері пайдаланылды.</t>
  </si>
  <si>
    <t>The AI system was trained using a multilingual dataset.</t>
  </si>
  <si>
    <t>Жасанды интеллект жүйесі көптілді деректер жиыны арқылы оқытылды.</t>
  </si>
  <si>
    <t>Жасанды интеллект жүйесін көптілді мәліметтер жиынтығымен оқытты.</t>
  </si>
  <si>
    <t>They visualized the data using interactive heatmaps.</t>
  </si>
  <si>
    <t>Олар деректерді интерактивті жылу карталарымен көрнекілендірді.</t>
  </si>
  <si>
    <t>Олар деректерді интерактивті жылу карталарымен бейнеледі.</t>
  </si>
  <si>
    <t>Semantic segmentation improved the accuracy of object detection.</t>
  </si>
  <si>
    <t>Семантикалық сегментация объектіні тану дәлдігін жақсартты.</t>
  </si>
  <si>
    <t>Семантикалық сегментация объектіні тану дәлдігін арттырды.</t>
  </si>
  <si>
    <t>Her research focuses on code-switching in digital communication.</t>
  </si>
  <si>
    <t>Оның зерттеуі цифрлық қарым-қатынастағы кодты ауыстыруға бағытталған.</t>
  </si>
  <si>
    <t>Оның зерттеуі сандық қарым-қатынастағы кодты ауыстыруға бағытталған.</t>
  </si>
  <si>
    <t>0,80</t>
  </si>
  <si>
    <t>The neural network architecture was optimized for faster training.</t>
  </si>
  <si>
    <t>Нейрондық желі архитектурасы оқытуды жеделдету үшін оңтайландырылды.</t>
  </si>
  <si>
    <t>Нейрондық желі құрылымы оқытуды жылдамдату үшін оңтайланды.</t>
  </si>
  <si>
    <t>Satellite data revealed seasonal changes in vegetation density.</t>
  </si>
  <si>
    <t>Жерсеріктік деректер өсімдіктер тығыздығының маусымдық өзгерістерін көрсетті.</t>
  </si>
  <si>
    <t>Жерсеріктік деректер өсімдік тығыздығының маусымдық өзгерістерін анықтады.</t>
  </si>
  <si>
    <t>The experiment used randomized control groups for validity.</t>
  </si>
  <si>
    <t>Эксперимент сенімді болу үшін кездейсоқ бақылау топтарын қолданды.</t>
  </si>
  <si>
    <t>Тәжірибе  сенімді болу үшін кездейсоқ бақылау топтарын қолданды.</t>
  </si>
  <si>
    <t>Эксперименттің сенімді болуын қамтамасыз ету үшін кездейсоқ бақылау топтары қолданылды.</t>
  </si>
  <si>
    <t>They designed an app to support endangered language learning.</t>
  </si>
  <si>
    <t>Олар жойылып бара жатқан тілді үйренуге арналған қосымша жасады.</t>
  </si>
  <si>
    <t>The system analyzed speech patterns for speaker identification.</t>
  </si>
  <si>
    <t>Жүйе сөйлеу үлгілерін талдау арқылы сөйлеушіні анықтады.</t>
  </si>
  <si>
    <t>Жүйе сөйлеу деректерін талдау арқылы сөйлеген адамды анықтады.</t>
  </si>
  <si>
    <t>The architecture integrates blockchain for secure transactions.</t>
  </si>
  <si>
    <t>Архитектура қауіпсіз транзакциялар үшін блокчейнді біріктіреді.</t>
  </si>
  <si>
    <t>Архитектура қауіпсіз транзакциялар үшін блокчейн технологиясын пайдаланады.</t>
  </si>
  <si>
    <t>The corpus contains annotated texts in multiple dialects.</t>
  </si>
  <si>
    <t>Корпус бірнеше диалектіде таңбаланған мәтіндерден тұрады.</t>
  </si>
  <si>
    <t>The autonomous vehicle adjusted its path using real-time inputs.</t>
  </si>
  <si>
    <t>Автономды көлік нақты уақыттағы деректер арқылы бағытын түзеді.</t>
  </si>
  <si>
    <t>Автономды көлік нақты уақыттағы деректерді пайдаланып бағытын өзгертті.</t>
  </si>
  <si>
    <t>Her linguistic fieldwork focused on verb morphology.</t>
  </si>
  <si>
    <t>Оның далалық тіл зерттеуі етістік морфологиясына бағытталған.</t>
  </si>
  <si>
    <t>The machine learning model was validated on unseen data.</t>
  </si>
  <si>
    <t>Машиналық оқыту моделі бұрын қолданылмаған деректерде тексерілді.</t>
  </si>
  <si>
    <t>Машиналық оқыту моделі жаңа деректерде сынақтан өтті.</t>
  </si>
  <si>
    <t>The project utilized big data analytics to predict migration patterns.</t>
  </si>
  <si>
    <t>Жоба көші-қон үрдістерін болжау үшін үлкен деректер талдауын қолданды.</t>
  </si>
  <si>
    <t>A novel speech recognition system was developed for low-resource languages.</t>
  </si>
  <si>
    <t>Ресурсы шектеулі тілдерге арналған жаңа сөйлеуді тану жүйесі жасалды.</t>
  </si>
  <si>
    <t>The linguistic database was expanded with region-specific dialect entries.</t>
  </si>
  <si>
    <t>Тілдік дерекқор аймақтық диалектілік жазбалармен кеңейтілді.</t>
  </si>
  <si>
    <t>Environmental sensors recorded fluctuations in air quality over time.</t>
  </si>
  <si>
    <t>Қоршаған орта сенсорлары уақыт өте ауа сапасындағы ауытқуларды тіркеді.</t>
  </si>
  <si>
    <t>They employed transfer learning to improve model accuracy.</t>
  </si>
  <si>
    <t>Олар үлгінің дәлдігін арттыру үшін трансферлік оқытуды қолданды.</t>
  </si>
  <si>
    <t>Олар үлгінің дәлдігін арттыру мақсатында трансферлік оқытуды пайдаланды.</t>
  </si>
  <si>
    <t>The study involved cross-linguistic comparison of phonological rules.</t>
  </si>
  <si>
    <t>Зерттеу фонологиялық ережелердің кросс-лингвистикалық салыстырмасын қамтыды.</t>
  </si>
  <si>
    <t>Зерттеу фонологиялық ережелердің тілдер арасындағы салыстырмасын көрсетті.</t>
  </si>
  <si>
    <t>His experiment examined neural correlates of language processing.</t>
  </si>
  <si>
    <t>Оның эксперименті тілдік өңдеудің нейрондық байланыстарын зерттеді.</t>
  </si>
  <si>
    <t>Оның  тәжірибесі тілдік өңдеудің нейрондық байланыстарын зерттеді.</t>
  </si>
  <si>
    <t>Cloud infrastructure was used to scale the computing capacity.</t>
  </si>
  <si>
    <t>Есептеу қуатын кеңейту үшін бұлтты инфрақұрылым пайдаланылды.</t>
  </si>
  <si>
    <t>Есептеу қуатын ұлғайту үшін бұлтты инфрақұрылым қолданылды.</t>
  </si>
  <si>
    <t>Gesture recognition was integrated into the user interface.</t>
  </si>
  <si>
    <t>Қол қимылдарын тану жүйесі пайдаланушы интерфейсімен біріктірілді.</t>
  </si>
  <si>
    <t>The multilingual chatbot was trained on diverse conversational data.</t>
  </si>
  <si>
    <t>Көптілді чатбот түрлі диалогтық деректер негізінде оқытылды.</t>
  </si>
  <si>
    <t>Көптілді чатбот әртүрлі тілдегі диалог деректері бойынша оқытылды.</t>
  </si>
  <si>
    <t>Her thesis explores the evolution of syntactic structures in digital discourse.</t>
  </si>
  <si>
    <t>Оның диссертациясы сандық дискурс кезіндегі синтаксистік құрылымдардың дамуын зерттейді.</t>
  </si>
  <si>
    <t>The automated pipeline cleaned and preprocessed raw linguistic data.</t>
  </si>
  <si>
    <t>Автоматтандырылған жүйе тілдік шикі деректерді тазалап, алдын ала өңдеді.</t>
  </si>
  <si>
    <t>They developed a cross-platform mobile app for field data collection.</t>
  </si>
  <si>
    <t>Олар далалық деректер жинауға арналған кросс-платформалық мобильді қосымша жасады.</t>
  </si>
  <si>
    <t>Олар даладағы деректерді жинауға арналған кросс-платформалық мобильді қосымшаны әзірледі.</t>
  </si>
  <si>
    <t>The robotic arm was calibrated to perform micro-level tasks.</t>
  </si>
  <si>
    <t>Робот қолы микродеңгейлі тапсырмаларды орындау үшін калибрленді.</t>
  </si>
  <si>
    <t>Робот қолы микродеңгейлі тапсырмаларды орындауға арналған дәлдікпен реттелді.</t>
  </si>
  <si>
    <t>Her ethnographic research focused on language attitudes in urban youth.</t>
  </si>
  <si>
    <t>Оның этнографиялық зерттеуі қалалық жастардың тілге деген көзқарасына арналды.</t>
  </si>
  <si>
    <t>Real-time translation systems still face challenges with idiomatic expressions.</t>
  </si>
  <si>
    <t>Нақты уақыттағы аударма жүйелері идиомалық тіркестермен әлі де қиындық көреді.</t>
  </si>
  <si>
    <t>Нақты уақыттағы аударма жүйелері әлі күнге дейін идиомалармен күресуде.</t>
  </si>
  <si>
    <t>The machine vision algorithm identified patterns in agricultural fields.</t>
  </si>
  <si>
    <t>Машиналық көру алгоритмі ауыл шаруашылық алқаптарындағы үлгілерді анықтады.</t>
  </si>
  <si>
    <t>Машиналық көру алгоритмі егістік алаңдарындағы объектілерді анықтады.</t>
  </si>
  <si>
    <t>The study assessed information flow in decentralized communication systems.</t>
  </si>
  <si>
    <t>Зерттеу орталықтандырылмаған байланыс жүйелеріндегі ақпарат ағынын бағалады.</t>
  </si>
  <si>
    <t>Зерттеу орталықсыз байланыс жүйелеріндегі ақпарат ағынын зерттеді.</t>
  </si>
  <si>
    <t>Language acquisition models were tested against child speech data.</t>
  </si>
  <si>
    <t>Тілді меңгеру модельдері бала тілі деректері негізінде тексерілді.</t>
  </si>
  <si>
    <t>The acoustic features of stressed syllables were measured.</t>
  </si>
  <si>
    <t>Екпін түскен буындардың акустикалық сипаттамалары өлшенді.</t>
  </si>
  <si>
    <t>The GPS data was synchronized with timestamped audio recordings.</t>
  </si>
  <si>
    <t>GPS деректері уақыт белгісі бар аудио жазбалармен синхрондалды.</t>
  </si>
  <si>
    <t>GPS деректері уақыт белгісімен аудио жазбалармен синхрондалды.</t>
  </si>
  <si>
    <t>Multimodal data fusion enhanced the system’s decision-making accuracy.</t>
  </si>
  <si>
    <t>Көпмодальды деректерді біріктіру жүйенің шешім қабылдау дәлдігін арттырды.</t>
  </si>
  <si>
    <t>Көпмодальды деректерді біріктіру жүйенің шешім қабылдау дәлдігін жақсартты.</t>
  </si>
  <si>
    <t>He built a custom neural net for morphological segmentation.</t>
  </si>
  <si>
    <t>Ол морфологиялық сегментация үшін арнайы нейрондық желі жасады.</t>
  </si>
  <si>
    <t>The database supports search queries across multiple languages.</t>
  </si>
  <si>
    <t>Бұл дерекқор бірнеше тіл бойынша іздеу сұраныстарын қолдайды.</t>
  </si>
  <si>
    <t>Бұл дерекқор көптілді іздеу сұраныстарын жүзеге асырады.</t>
  </si>
  <si>
    <t>Their methodology combined ethnographic interviews with statistical analysis.</t>
  </si>
  <si>
    <t>Олардың әдістемесі этнографиялық сұхбат пен статистикалық талдауды біріктірді.</t>
  </si>
  <si>
    <t>The semantic network was visualized using force-directed graphs.</t>
  </si>
  <si>
    <t>Семантикалық желі күшке негізделген графиктер арқылы көрнекілендірілді.</t>
  </si>
  <si>
    <t>Семантикалық желі күшке негізделген графиктермен бейнеленді.</t>
  </si>
  <si>
    <t>His paper evaluates prosodic variation in spontaneous speech.</t>
  </si>
  <si>
    <t>Оның мақаласы еркін сөйлеудегі просодикалық вариацияны бағалайды.</t>
  </si>
  <si>
    <t>Оның мақаласы еркін сөйлеудегі просодикалық әртүрлілікті зерттейді.</t>
  </si>
  <si>
    <t>Data annotation was performed using a crowd-based platform.</t>
  </si>
  <si>
    <t>Деректерді таңбалау краудсорсинг платформасы арқылы жүзеге асырылды.</t>
  </si>
  <si>
    <t>The findings contribute to computational models of bilingualism.</t>
  </si>
  <si>
    <t>Нәтижелер қостілділікке арналған есептеу модельдерін дамытуға үлес қосады.</t>
  </si>
  <si>
    <t>Нәтижелер қос тілділікке арналған есептеу модельдерін жетілдіруге ықпал етеді.</t>
  </si>
  <si>
    <t>Her research bridges the gap between AI ethics and applied linguistics.</t>
  </si>
  <si>
    <t>Оның зерттеуі жасанды интеллект этикасы мен қолданбалы лингвистика арасындағы байланысты нығайтады.</t>
  </si>
  <si>
    <t>He let the cat out of the bag.</t>
  </si>
  <si>
    <t>Ол құпияны кездейсоқ ашып қойды.</t>
  </si>
  <si>
    <t>She was over the moon after getting the job.</t>
  </si>
  <si>
    <t>Ол жұмысқа тұрған соң қатты қуанды.</t>
  </si>
  <si>
    <t>Ол жұмысқа қабылданған  соң қатты қуанды.</t>
  </si>
  <si>
    <t>It’s a piece of cake for him.</t>
  </si>
  <si>
    <t>Бұл оған оңай.</t>
  </si>
  <si>
    <t>Ол үшін бұл өте оңай.</t>
  </si>
  <si>
    <t>Don’t cry over spilled milk.</t>
  </si>
  <si>
    <t>Өткен іске өкінбе.</t>
  </si>
  <si>
    <t>They’re on the same page about the plan.</t>
  </si>
  <si>
    <t>Олар жоспар жөнінде бір пікірде.</t>
  </si>
  <si>
    <t>Олар жоспар бойынша келісіп отыр.</t>
  </si>
  <si>
    <t>He kicked the bucket last winter.</t>
  </si>
  <si>
    <t>Ол былтыр қыста қайтыс болды.</t>
  </si>
  <si>
    <t>Ол өткен жылдың қысы кезінде қайтыс болды.</t>
  </si>
  <si>
    <t>She's under the weather today.</t>
  </si>
  <si>
    <t>Бүгін оның мазасы болмай тұр.</t>
  </si>
  <si>
    <t>He’s pulling your leg.</t>
  </si>
  <si>
    <t>Ол сені алдап тұр.</t>
  </si>
  <si>
    <t>Let’s call it a day.</t>
  </si>
  <si>
    <t>Бүгінге жеткілікті.</t>
  </si>
  <si>
    <t>Бүгінгі істі аяқтайық.</t>
  </si>
  <si>
    <t>That costs an arm and a leg.</t>
  </si>
  <si>
    <t>Бұл өте қымбат тұрады.</t>
  </si>
  <si>
    <t>Don’t beat around the bush.</t>
  </si>
  <si>
    <t>Айтарыңды тура айт.</t>
  </si>
  <si>
    <t>He got cold feet before the speech.</t>
  </si>
  <si>
    <t>Ол сөз сөйлеуден бұрын шошып қалды.</t>
  </si>
  <si>
    <t>Ол сөз сөйлеуге қорықты.</t>
  </si>
  <si>
    <t>She broke the ice with a joke.</t>
  </si>
  <si>
    <t>Ол әңгімені қалжыңмен бастады.</t>
  </si>
  <si>
    <t>They burned the midnight oil to finish the report.</t>
  </si>
  <si>
    <t>Олар есепті аяқтау үшін түнде де жұмыс істеді.</t>
  </si>
  <si>
    <t>Олар есепті аяқтау үшін түн ортасына дейін отырды.</t>
  </si>
  <si>
    <t>He put his foot in his mouth again.</t>
  </si>
  <si>
    <t>Ол тағы да орынсыз сөз айтып қойды.</t>
  </si>
  <si>
    <t>Don’t put all your eggs in one basket.</t>
  </si>
  <si>
    <t>Бәрін бір нәрсеге тәуелді етпе.</t>
  </si>
  <si>
    <t>She has a heart of gold.</t>
  </si>
  <si>
    <t>Ол өте мейірімді адам.</t>
  </si>
  <si>
    <t>He’s in hot water after the incident.</t>
  </si>
  <si>
    <t>Ол оқиғадан кейін қиын жағдайға тап болды.</t>
  </si>
  <si>
    <t>She spilled the beans.</t>
  </si>
  <si>
    <t>Ол құпияны жайып салды.</t>
  </si>
  <si>
    <t>The ball is in your court now.</t>
  </si>
  <si>
    <t>Енді шешім сенікі.</t>
  </si>
  <si>
    <t>He’s the black sheep of the group.</t>
  </si>
  <si>
    <t>Ол – топтың өзгеше мүшесі.</t>
  </si>
  <si>
    <t>Time flies when you’re having fun.</t>
  </si>
  <si>
    <t>Көңілді кезде уақыт тез өтеді.</t>
  </si>
  <si>
    <t>He faced the music for his actions.</t>
  </si>
  <si>
    <t>Ол өз әрекеттерінің салдарын қабылдады.</t>
  </si>
  <si>
    <t>She’s all ears.</t>
  </si>
  <si>
    <t>Ол мұқият тыңдап отыр.</t>
  </si>
  <si>
    <t>It was the last straw for the manager.</t>
  </si>
  <si>
    <t>Бұл басшы үшін шекті жағдай болды.</t>
  </si>
  <si>
    <t>Бұл менеджердің төзімі таусылған сәт болды.</t>
  </si>
  <si>
    <t>He let things get out of hand.</t>
  </si>
  <si>
    <t>Ол жағдайды бақылаудан шығарып алды.</t>
  </si>
  <si>
    <t>They jumped on the bandwagon.</t>
  </si>
  <si>
    <t>Олар трендке еріп кетті.</t>
  </si>
  <si>
    <t>Олар көпшіліктің оң көзқарасына қосылды.</t>
  </si>
  <si>
    <t>She read between the lines.</t>
  </si>
  <si>
    <t>Ол жасырын мағынаны түсінді.</t>
  </si>
  <si>
    <t>He threw in the towel.</t>
  </si>
  <si>
    <t>Ол бас тартты.</t>
  </si>
  <si>
    <t>The idea was out of the blue.</t>
  </si>
  <si>
    <t>Бұл ой кенеттен пайда болды.</t>
  </si>
  <si>
    <t>Keep your fingers crossed.</t>
  </si>
  <si>
    <t>Сәттілік тілейік.</t>
  </si>
  <si>
    <t>He hit the nail on the head.</t>
  </si>
  <si>
    <t>Ол тура мәселені айтты.</t>
  </si>
  <si>
    <t>She turned a blind eye to the problem.</t>
  </si>
  <si>
    <t>Ол мәселені елемегендей болды.</t>
  </si>
  <si>
    <t>He bit off more than he could chew.</t>
  </si>
  <si>
    <t>Ол шамасынан тыс істі алды.</t>
  </si>
  <si>
    <t>Ол қабілетіне сай емес істі қолға алды.</t>
  </si>
  <si>
    <t>0,5</t>
  </si>
  <si>
    <t>They’re walking on eggshells around him.</t>
  </si>
  <si>
    <t>Олар онымен өте абай сөйлесіп жүр.</t>
  </si>
  <si>
    <t>Олардың оның қасында абайлап жүргені байқалады.</t>
  </si>
  <si>
    <t>Don’t judge a book by its cover.</t>
  </si>
  <si>
    <t>Сыртына қарап баға берме.</t>
  </si>
  <si>
    <t>That’s easier said than done.</t>
  </si>
  <si>
    <t>Айту оңай, істеу қиын.</t>
  </si>
  <si>
    <t>She was in a pickle after missing the deadline.</t>
  </si>
  <si>
    <t>Ол мерзімнен кешіккен соң қиындыққа тап болды.</t>
  </si>
  <si>
    <t>Ол мерзімнен кешігіп, қиындыққа душар болды.</t>
  </si>
  <si>
    <t>He’s got a chip on his shoulder.</t>
  </si>
  <si>
    <t>Ол үнемі ренішпен жүреді.</t>
  </si>
  <si>
    <t>They gave her the cold shoulder.</t>
  </si>
  <si>
    <t>Олар оған суық қарады.</t>
  </si>
  <si>
    <t>He’s skating on thin ice with his boss.</t>
  </si>
  <si>
    <t>Ол басшысымен қауіпті жағдайда тұр.</t>
  </si>
  <si>
    <t>The decision was up in the air.</t>
  </si>
  <si>
    <t>Шешім әлі қабылданбаған.</t>
  </si>
  <si>
    <t>She’s got ants in her pants.</t>
  </si>
  <si>
    <t>Ол тыныш отыра алмайды.</t>
  </si>
  <si>
    <t>That’s the icing on the cake.</t>
  </si>
  <si>
    <t>Бұл – бәрінен де тамаша нәрсе.</t>
  </si>
  <si>
    <t>He’s blowing things out of proportion.</t>
  </si>
  <si>
    <t>Ол жағдайды тым асыра айтып жүр.</t>
  </si>
  <si>
    <t>You can’t make an omelet without breaking eggs.</t>
  </si>
  <si>
    <t>Қиындықсыз жетістік болмайды.</t>
  </si>
  <si>
    <t>He was caught red-handed.</t>
  </si>
  <si>
    <t>Ол қылмыс үстінде ұсталды.</t>
  </si>
  <si>
    <t>Don’t bite the hand that feeds you.</t>
  </si>
  <si>
    <t>Сені асырап отырған адамға қарсы шықпа.</t>
  </si>
  <si>
    <t>We’re not out of the woods yet.</t>
  </si>
  <si>
    <t>Біз әлі қиындықтан толық шыққан жоқпыз.</t>
  </si>
  <si>
    <t>Біз әлі  тығырықтан толық шыққан жоқпыз.</t>
  </si>
  <si>
    <t>She made a mountain out of a molehill.</t>
  </si>
  <si>
    <t>Ол кішкене нәрсені үлкейтіп жіберді.</t>
  </si>
  <si>
    <t>The court issued a restraining order against the accused.</t>
  </si>
  <si>
    <t>Сот айыпталушыға тыйым салу туралы шешім шығарды.</t>
  </si>
  <si>
    <t>Сот айыпталушыға тыйым салуды бұйырды.</t>
  </si>
  <si>
    <t>He was arrested for obstruction of justice.</t>
  </si>
  <si>
    <t>Ол әділеттілікке кедергі келтіргені үшін ұсталды.</t>
  </si>
  <si>
    <t>Ол әділеттілікке кедергі келтіргені үшін қамалды.</t>
  </si>
  <si>
    <t>The prosecutor presented new evidence during the hearing.</t>
  </si>
  <si>
    <t>Айыптаушы тыңдауда жаңа дәлелдер ұсынды.</t>
  </si>
  <si>
    <t>Айыптаушы сот процесінде жаңа дәлелдер келтірді.</t>
  </si>
  <si>
    <t>The jury found the defendant guilty on all counts.</t>
  </si>
  <si>
    <t>Алқабилер айыпталушыны барлық бап бойынша кінәлі деп таныды.</t>
  </si>
  <si>
    <t>Алқа айыпталушыны барлық баптар бойынша кінәлі деп таныды.</t>
  </si>
  <si>
    <t>She was released on bail pending trial.</t>
  </si>
  <si>
    <t>Ол сотқа дейін кепілмен босатылды.</t>
  </si>
  <si>
    <t>Ол сот процесіне дейін кепілмен босатылды.</t>
  </si>
  <si>
    <t>The contract was declared null and void by the judge.</t>
  </si>
  <si>
    <t>Шарт сот шешімімен жарамсыз деп танылды.</t>
  </si>
  <si>
    <t>Шарт сот арқылы бұзылды.</t>
  </si>
  <si>
    <t>He filed a lawsuit against the company for negligence.</t>
  </si>
  <si>
    <t>Ол компанияны немқұрайлық үшін сотқа берді.</t>
  </si>
  <si>
    <t>Ол компанияны салғырттығы үшін жауапқа тартты.</t>
  </si>
  <si>
    <t>The appeal was denied due to insufficient grounds.</t>
  </si>
  <si>
    <t>Апелляция жеткілікті негіздің болмауына байланысты қабылданбады.</t>
  </si>
  <si>
    <t>Апелляциялық шағым негізсіз деп танылып, қабылданбады.</t>
  </si>
  <si>
    <t>A settlement was reached out of court.</t>
  </si>
  <si>
    <t>Соттан тыс келісімге келді.</t>
  </si>
  <si>
    <t>Тараптар сотқа дейін келісімге келді.</t>
  </si>
  <si>
    <t>Тараптар соттан тыс шешімге келді.</t>
  </si>
  <si>
    <t>The witness was subpoenaed to appear in court.</t>
  </si>
  <si>
    <t>Куә сотқа шақырылды.</t>
  </si>
  <si>
    <t>Куәгер сотқа шақырылды.</t>
  </si>
  <si>
    <t>Куә сот отырысына шақырылды.</t>
  </si>
  <si>
    <t>She testified under oath during the trial.</t>
  </si>
  <si>
    <t>Ол сотта ант беріп жауап берді.</t>
  </si>
  <si>
    <t>Ол сотта ант берген күйінде жауап берді.</t>
  </si>
  <si>
    <t>The attorney cross-examined the key witness.</t>
  </si>
  <si>
    <t>Адвокат басты куәгерге қарсы сұрақтар қойды.</t>
  </si>
  <si>
    <t>Заңгер негізгі куәгерге қарсы сұрақтар қойды.</t>
  </si>
  <si>
    <t>The defendant pleaded not guilty in front of the judge.</t>
  </si>
  <si>
    <t>Айыпталушы өзін кінәсізбін деп жариялады.</t>
  </si>
  <si>
    <t>Айыпталушы өзін кінәсіз деп мойындады.</t>
  </si>
  <si>
    <t>The court adjourned for the day.</t>
  </si>
  <si>
    <t>Сот отырысы сол күнге тоқтатылды.</t>
  </si>
  <si>
    <t>Сот отырысы сол күнге дейін кейінге қалдырылды.</t>
  </si>
  <si>
    <t>The verdict will be announced next week.</t>
  </si>
  <si>
    <t>Үкім келесі аптада жарияланады.</t>
  </si>
  <si>
    <t>Сот шешімі келесі аптада шығады.</t>
  </si>
  <si>
    <t>He signed a confidentiality agreement.</t>
  </si>
  <si>
    <t>Ол құпиялық туралы келісімге қол қойды.</t>
  </si>
  <si>
    <t>Ол ақпаратты жарияламау келісіміне қол қойды.</t>
  </si>
  <si>
    <t>The judge ordered restitution to the victim.</t>
  </si>
  <si>
    <t>Сот жәбірленушіге өтемақы төлеуді бұйырды.</t>
  </si>
  <si>
    <t>Сот жәбірленушіге өтемақы төлеу туралы шешім қабылдады.</t>
  </si>
  <si>
    <t>The legal team prepared their final arguments.</t>
  </si>
  <si>
    <t>Заңгерлер соңғы сөздерін дайындады.</t>
  </si>
  <si>
    <t>Заңгерлер қорытынды сөздерін жазып шықты.</t>
  </si>
  <si>
    <t>The charges were dropped due to lack of evidence.</t>
  </si>
  <si>
    <t>Дәлелдің болмауына байланысты айыптар алынып тасталды.</t>
  </si>
  <si>
    <t>Дәлелсіздік себепті айыптар жойылды.</t>
  </si>
  <si>
    <t>A class-action suit was filed against the manufacturer.</t>
  </si>
  <si>
    <t>Өндірушіге қарсы ұжымдық талап қойылды.</t>
  </si>
  <si>
    <t>Өндірушіге қарсы ұжымдық арыз берілді.</t>
  </si>
  <si>
    <t>The defendant was granted immunity for cooperation.</t>
  </si>
  <si>
    <t>Айыпталушы ынтымақтастығы үшін жауапкершіліктен босатылды.</t>
  </si>
  <si>
    <t>Айыпталушы ынтымақтастық жасағаны үшін жеңілдіктер алды.</t>
  </si>
  <si>
    <t>The attorney advised his client to remain silent.</t>
  </si>
  <si>
    <t>Адвокат клиентіне үндемеуді ұсынды.</t>
  </si>
  <si>
    <t>Адвокат клиентіне үндемеу құқығын қолдануды кеңес берді.</t>
  </si>
  <si>
    <t>The case was dismissed with prejudice.</t>
  </si>
  <si>
    <t>Іс біржола тоқтатылды.</t>
  </si>
  <si>
    <t>Сот ісі толық тоқтатылды.</t>
  </si>
  <si>
    <t>They reached a plea bargain agreement.</t>
  </si>
  <si>
    <t>Олар процессуалдық келісімге келді.</t>
  </si>
  <si>
    <t>Олар айыптаумен келіспеуге қатысты келісімге қол қойды.</t>
  </si>
  <si>
    <t>Олар процестік келісімге қол жеткізді.</t>
  </si>
  <si>
    <t>She was sentenced to five years in prison.</t>
  </si>
  <si>
    <t>Ол бес жылға бас бостандығынан айырылды.</t>
  </si>
  <si>
    <t>The evidence was deemed inadmissible.</t>
  </si>
  <si>
    <t>Бұл дәлел сотта қабылданбайтын деп танылды.</t>
  </si>
  <si>
    <t>Бұл дәлел сотта жарамсыз деп танылды.</t>
  </si>
  <si>
    <t>The lawyer requested a change of venue.</t>
  </si>
  <si>
    <t>Адвокат сот орнының ауыстырылуын сұрады.</t>
  </si>
  <si>
    <t>Адвокат соттың өтетін орнын ауыстыруды өтінді.</t>
  </si>
  <si>
    <t>The court upheld the previous ruling.</t>
  </si>
  <si>
    <t>Сот алдыңғы шешімді күшінде қалдырды.</t>
  </si>
  <si>
    <t>Сот алдыңғы шешімді өзгеріссіз қалдырды.</t>
  </si>
  <si>
    <t>He was indicted by a grand jury.</t>
  </si>
  <si>
    <t>Оған алқабилер сотымен айып тағылды.</t>
  </si>
  <si>
    <t>The witness recanted their earlier statement.</t>
  </si>
  <si>
    <t>Куәгер алдыңғы мәлімдемесінен бас тартты.</t>
  </si>
  <si>
    <t>Куәгер бұрынғы берген мәлімдемесінен бас тартты.</t>
  </si>
  <si>
    <t>The law firm specializes in intellectual property cases.</t>
  </si>
  <si>
    <t>Бұл заңгерлік фирма зияткерлік меншік саласына маманданған.</t>
  </si>
  <si>
    <t>Заңгерлік фирма зияткерлік меншік құқықтары бойынша жұмыс істейді.</t>
  </si>
  <si>
    <t>They are seeking damages for breach of duty.</t>
  </si>
  <si>
    <t>Олар міндеттемені бұзу үшін өтемақы талап етуде.</t>
  </si>
  <si>
    <t>Олар шартты бұзғаны үшін өтемақы талап етуде.</t>
  </si>
  <si>
    <t>The contract includes a non-disclosure clause.</t>
  </si>
  <si>
    <t>Шартта құпиялылық туралы бап бар.</t>
  </si>
  <si>
    <t>Келісімшартта құпиялылық туралы тармақ қарастырылған.</t>
  </si>
  <si>
    <t>The defendant's rights were violated during arrest.</t>
  </si>
  <si>
    <t>Айыпталушыны ұстау кезінде оның құқықтары бұзылды.</t>
  </si>
  <si>
    <t>Айыпталушыны қамау кезінде оның құқықтары сақталмады.</t>
  </si>
  <si>
    <t>A warrant was issued for his arrest.</t>
  </si>
  <si>
    <t>Оның тұтқындалуына ордер берілді.</t>
  </si>
  <si>
    <t>Оның тұтқындалуына сот ордері шығарылды.</t>
  </si>
  <si>
    <t>The trial attracted media attention.</t>
  </si>
  <si>
    <t>Бұл сот ісі бұқаралық ақпарат құралдарының назарын аударды.</t>
  </si>
  <si>
    <t>The judge ruled in favor of the plaintiff.</t>
  </si>
  <si>
    <t>Сот талапкердің пайдасына шешім шығарды.</t>
  </si>
  <si>
    <t>Сот шешімі талапкердің пайдасына болды.</t>
  </si>
  <si>
    <t>She is suing the landlord for unsafe conditions.</t>
  </si>
  <si>
    <t>Ол жалға берушіні қауіпті жағдай үшін сотқа беріп отыр.</t>
  </si>
  <si>
    <t>Ол жалға берушіні қауіпті жағдайға байланысты сотқа берген.</t>
  </si>
  <si>
    <t>The legal proceedings took several months.</t>
  </si>
  <si>
    <t>Сот процесі бірнеше айға созылды.</t>
  </si>
  <si>
    <t>Сот ісі бірнеше ай бойы жалғасты.</t>
  </si>
  <si>
    <t>The agreement was legally binding.</t>
  </si>
  <si>
    <t>Келісім заңды күші бар деп танылды.</t>
  </si>
  <si>
    <t>Келісім заңды күшке ие деп танылды.</t>
  </si>
  <si>
    <t>The suspect requested legal representation.</t>
  </si>
  <si>
    <t>Күдікті адвокат көмегін сұрады.</t>
  </si>
  <si>
    <t>Күдікті заңгердің көмегіне жүгінді.</t>
  </si>
  <si>
    <t>He was found liable for the damages.</t>
  </si>
  <si>
    <t>Ол келтірілген залал үшін жауапты деп танылды.</t>
  </si>
  <si>
    <t>Ол келтірілген зиян үшін жауапты деп танылды.</t>
  </si>
  <si>
    <t>The case was reopened after new evidence surfaced.</t>
  </si>
  <si>
    <t>Жаңа дәлелдер пайда болғаннан кейін іс қайта ашылды.</t>
  </si>
  <si>
    <t>Жаңа айғақтар табылған соң іс қайта қаралды.</t>
  </si>
  <si>
    <t>The verdict was appealed immediately.</t>
  </si>
  <si>
    <t>Үкімге бірден апелляция берілді.</t>
  </si>
  <si>
    <t>Үкімге бірден шағымдану берілді.</t>
  </si>
  <si>
    <t>They were granted a temporary injunction.</t>
  </si>
  <si>
    <t>Оларға уақытша тыйым салу шешімі берілді.</t>
  </si>
  <si>
    <t>The court lacked jurisdiction over the case.</t>
  </si>
  <si>
    <t>Сот бұл іс бойынша құзырлы емес деп танылды.</t>
  </si>
  <si>
    <t>Сот бұл іс бойынша құзырлы емес екенін анықтады.</t>
  </si>
  <si>
    <t>The law was amended last year.</t>
  </si>
  <si>
    <t>Бұл заң былтыр өзгертілді.</t>
  </si>
  <si>
    <t>The case involved multiple defendants.</t>
  </si>
  <si>
    <t>Іске бірнеше айыпталушы қатысты.</t>
  </si>
  <si>
    <t>Сот ісіне бірнеше айыпталушы қатысты.</t>
  </si>
  <si>
    <t>The client signed a power of attorney form.</t>
  </si>
  <si>
    <t>Клиент сенімхатқа қол қойды.</t>
  </si>
  <si>
    <t>Тапсырыс беруші сенімхатқа қол қойды.</t>
  </si>
  <si>
    <t>Клиент сенімхатты бекітті.</t>
  </si>
  <si>
    <t>High levels of circulating fibroblast growth factor 23 (FGF23) are associated with chronic kidney disease (CKD) progression and high mortality.</t>
  </si>
  <si>
    <t>Қанда айналымда жүретін фибробласт өсімдік факторы 23 (FGF23) деңгейінің жоғары болуы созылмалы бүйрек ауруының (СБА) үдеуімен және өлім-жітімнің жоғары болуымен байланысты.</t>
  </si>
  <si>
    <t>In the Phosphate Reduction Evaluation of FGF23 in Early CKD Treatment (PREFECT) study, we assessed the effect of reducing intestinal phosphate absorption using lanthanum carbonate on FGF23 levels in normophosphatemic patients with CKD stage 3.</t>
  </si>
  <si>
    <t>PREFECT зерттеуінде біз 3-ші сатыдағы СБА-сы бар, фосфор деңгейі қалыпты науқастарда лантан карбонатын қолданып, ішек арқылы фосфор сіңірілуін азайтудың FGF23 деңгейіне әсерін зерттедік.</t>
  </si>
  <si>
    <t>FGF23 деңгейін төмендетуге бағытталған PREFECT (Фосфатты төмендету арқылы FGF23 деңгейін бағалау) зерттеуінде біз 3-сатыдағы созылмалы бүйрек жетіспеушілігі (СБЖ) бар, қан сарысуындағы фосфат деңгейі қалыпты пациенттерде лантан карбонатын қолданып, ішек арқылы фосфаттың сіңуін төмендетудің FGF23 деңгейіне әсерін бағаладық.</t>
  </si>
  <si>
    <t>Thirty-five individuals were randomized to lanthanum carbonate 3000 mg/day (n = 23) or placebo (n = 12) for 12 weeks.</t>
  </si>
  <si>
    <t>35 адам кездейсоқ екі топқа бөлінді: 12 апта бойы тәулігіне 3000 мг лантан карбонатын қабылдағандар (n = 23) және плацебо алғандар (n = 12).</t>
  </si>
  <si>
    <t>Levels of intact FGF23 (iFGF23), C-terminal FGF23, serum and urinary phosphate and calcium, intact parathyroid hormone and 1,25-dihydroxyvitamin D were assessed.</t>
  </si>
  <si>
    <t>Зерттеуде толық FGF23 (iFGF23), C-фрагментті FGF23, сарысулық және зәрдегі фосфат пен кальций, толық паратгормон және 1,25-дигидроксивитамин D деңгейлері бағаланды.</t>
  </si>
  <si>
    <t>The median age was 65 years in the lanthanum group and 73 years in the placebo group; 58.8% and 41.7% were men, respectively.</t>
  </si>
  <si>
    <t>Лантан қабылдаған топта медианалық жас — 65, ал плацебо тобында — 73 жас болды; сәйкесінше 58.8% және 41.7% ер адамдар.</t>
  </si>
  <si>
    <t>No significant difference was seen in mean iFGF23 between groups at week 12.</t>
  </si>
  <si>
    <t>12-аптада екі топ арасында iFGF23 деңгейінде елеулі айырмашылық байқалмады.</t>
  </si>
  <si>
    <t>There was, however, a transient reduction from baseline in iFGF23 in the lanthanum group at week 1, from 70.5 pg/ml to 51.9 pg/ml, which was not seen in the placebo group; this between-group difference in percentage change from baseline was significant in post hoc analyses (p = 0.0102).</t>
  </si>
  <si>
    <t>Алайда, 1-аптада лантан тобында iFGF23 деңгейі 70.5-тен 51.9 пг/мл-ге дейін уақытша төмендегені байқалды, бұл өзгеріс плацебо тобында болмады; бастапқы деңгейден өзгерістің пайыздық айырмашылығы post hoc талдауында маңызды болды (p = 0.0102).</t>
  </si>
  <si>
    <t>Urinary phosphate decreased after 1 week of lanthanum treatment and remained low at week 12.</t>
  </si>
  <si>
    <t>Лантанмен емдеудің бірінші аптасынан кейін зәрдегі фосфат деңгейі төмендеп, 12-аптаға дейін төмен деңгейде қалды.</t>
  </si>
  <si>
    <t>Reducing intestinal phosphate absorption with lanthanum carbonate did not lead to sustained reductions in iFGF23 in patients with CKD stage 3, although phosphaturia decreased.</t>
  </si>
  <si>
    <t>Лантан карбонатын қолданып ішектен фосфат сіңірілуін азайту 3-сатыдағы СБА науқастарында iFGF23 деңгейінің тұрақты төмендеуіне әкелмеді, дегенмен фосфатурия төмендеді.</t>
  </si>
  <si>
    <t>This suggests that factors other than phosphate burden may be responsible for driving increases in circulating FGF23 in patients with CKD.</t>
  </si>
  <si>
    <t>Бұл, СБА науқастарында қандағы FGF23 деңгейінің жоғарылауына фосфат жүктемесінен басқа факторлар да әсер етуі мүмкін екенін көрсетеді.</t>
  </si>
  <si>
    <t>This study sought to compare the efficacy of drug-eluting balloons (DEB) with that of everolimus-eluting stents (EES) in patients with bare-metal stents (BMS) in-stent restenosis (ISR).</t>
  </si>
  <si>
    <t>Бұл зерттеу жалаңаш металл стенттердегі (BMS) ішкі рестеноз (ISR) дамыған науқастарда дәрі шығаратын баллондардың (DEB) тиімділігін эверолимуспен жабылған стенттермен (EES) салыстыруды көздеді.</t>
  </si>
  <si>
    <t>Бұл зерттеу жалаң металл стенттердегі (BMS) ішкі рестеноз (ISR) дамыған науқастарда дәрі шығаратын баллондардың (DEB) тиімділігін эверолимуспен жабылған стенттермен (EES) салыстыруды көздеді.</t>
  </si>
  <si>
    <t>Treatment of patients with ISR remains a challenge.</t>
  </si>
  <si>
    <t>Ішкі рестенозбен (ISR) ауыратын науқастарды емдеу әлі де қиындық тудырады.</t>
  </si>
  <si>
    <t>This was a prospective, multicenter, randomized trial comparing DEB with EES in patients with bare-metal stents (BMS) in-stent restenosis (ISR).</t>
  </si>
  <si>
    <t>Бұл — ішкі рестенозбен (ISR) ауыратын BMS стенті бар науқастар арасында DEB мен EES тиімділігін салыстырған көпорталықты, проспективті, рандомизацияланған зерттеу болды.</t>
  </si>
  <si>
    <t>Бұл зерттеу болашаққа бағытталған, көпорталықты, рандомизацияланған зерттеу болып табылады, онда жалаң металл стенттер (ЖМС) орнатылған пациенттердегі стент ішілік рестенозды (СІР) емдеуде препаратпен қапталған баллон (DEB) мен дәрі бөлу қабілеті бар стенттің (EES) тиімділігі салыстырылды.</t>
  </si>
  <si>
    <t>The primary endpoint was the minimal lumen diameter at 9 months' follow-up.</t>
  </si>
  <si>
    <t>Негізгі нәтиже — 9 айдан кейінгі ең төменгі тамыр саңылауының диаметрі.</t>
  </si>
  <si>
    <t>A total of 189 patients with BMS-ISR from 25 Spanish sites were included (95 were allocated to DEB and 94 to EES).</t>
  </si>
  <si>
    <t>Испанияның 25 орталығынан 189 BMS-ISR науқас қатысты (95 — DEB тобына, 94 — EES тобына бөлінді).</t>
  </si>
  <si>
    <t>Procedural success was achieved in all patients.</t>
  </si>
  <si>
    <t>Барлық науқастарда процедура сәтті аяқталды.</t>
  </si>
  <si>
    <t>Барлық науқастарда емшара сәтті аяқталды.</t>
  </si>
  <si>
    <t>At late angiography (median 249 days; 92% of eligible patients), patients in the EES arm had a significantly larger minimal lumen diameter (2.36 ± 0.6 mm vs. 2.01 ± 0.6 mm, p &lt; 0.001; absolute mean difference: 0.35 mm; 95% CI: 0.16 to 0.53) and a lower percent of diameter stenosis (13 ± 17% vs. 25 ± 20%, p &lt; 0.001).</t>
  </si>
  <si>
    <t>Кейінгі ангиографияда (медиана — 249 күн; жарамды науқастардың 92%) EES тобындағы науқастарда ең төменгі саңылау диаметрі едәуір үлкен болды (2.36 ± 0.6 мм vs. 2.01 ± 0.6 мм, p &lt; 0.001; абсолютті орташа айырмашылық — 0.35 мм; 95% CI: 0.16–0.53), сондай-ақ стеноздың пайыздық көрсеткіші төмен болды (13 ± 17% vs. 25 ± 20%, p &lt; 0.001).</t>
  </si>
  <si>
    <t>However, late loss (0.04 ± 0.5 mm vs. 0.14 ± 0.5 mm, p = 0.14) and binary restenosis rate (4.7% vs. 9.5%, p = 0.22) were very low and similar in both groups.</t>
  </si>
  <si>
    <t>Алайда кейінгі диаметр жоғалуы (0.04 ± 0.5 мм vs. 0.14 ± 0.5 мм, p = 0.14) және екілік рестеноз жиілігі (4.7% vs. 9.5%, p = 0.22) екі топта да өте төмен және ұқсас болды.</t>
  </si>
  <si>
    <t>Clinical follow-up (median 365 days) was obtained in all (100%) patients.</t>
  </si>
  <si>
    <t>Клиникалық бақылау (медиана — 365 күн) барлық (100%) науқаста жүргізілді.</t>
  </si>
  <si>
    <t>Емханалық бақылау (медиана — 365 күн) барлық (100%) науқаста жүргізілді.</t>
  </si>
  <si>
    <t>In patients with BMS-ISR, both DEB and EES provided excellent clinical results with a very low rate of clinical and angiographic recurrences.</t>
  </si>
  <si>
    <t>Металл стенттерде ішкі рестеноз (BMS-ISR) дамыған науқастарда дәрілік жабындысы бар баллон (DEB) мен эверолимуспен жабылған стент (EES) клиникалық және ангиографиялық рецидивтердің өте төмен жиілігімен тамаша нәтижелер көрсетті.</t>
  </si>
  <si>
    <t>Металл стенттерде ішкі рестеноз (BMS-ISR) дамыған науқастарда дәрілік жабындысы бар баллон (DEB) мен эверолимуспен жабылған стент (EES) клиникалық және ангиографиялық рецидивдердің өте төмен жиілігімен тамаша нәтижелер көрсетті.</t>
  </si>
  <si>
    <t>However, compared with DEB, EES provide superior late angiographic findings.</t>
  </si>
  <si>
    <t>Алайда DEB-мен салыстырғанда, EES кейінгі ангиографиялық нәтижелер тұрғысынан артықшылық көрсетті.</t>
  </si>
  <si>
    <t>Irregularity measures have been suggested as risk indicators in patients with atrial fibrillation (AF); however, it is not known to what extent they are affected by commonly used rate-control drugs.</t>
  </si>
  <si>
    <t>Жүрекшелік фибрилляциясы (AF) бар науқастарда ырғақсыздық көрсеткіштері қауіп көрсеткіші ретінде ұсынылғанымен, олар жүрек жиілігін реттейтін дәрілердің әсеріне қаншалықты ұшырайтыны белгісіз.</t>
  </si>
  <si>
    <t>We aimed at evaluating the effect of metoprolol, carvedilol, diltiazem, and verapamil on the variability and irregularity of the ventricular response in patients with permanent AF.</t>
  </si>
  <si>
    <t>Біз бұл зерттеуде тұрақты жүрекшелік фибрилляциясы бар науқастарда қарыншалық жауаптың өзгергіштігі мен ырғақсыздығына метопролол, карведилол, дилтиазем және верапамилдің әсерін бағалауды мақсат еттік.</t>
  </si>
  <si>
    <t>Sixty patients with permanent AF were part of an investigator-blind cross-over study, comparing 4 rate-control drugs (diltiazem, verapamil, metoprolol, and carvedilol).</t>
  </si>
  <si>
    <t>Тұрақты AF бар 60 науқас зерттеуші үшін соқыр жүргізілген, төрт жүрек жиілігін реттейтін препаратты салыстыратын айқаспалы зерттеуге қатысты (дилтиазем, верапамил, метопролол және карведилол).</t>
  </si>
  <si>
    <t>Тұрақты жүрекшелер фибрилляциясы (ЖФ) бар 60 пациент зерттеушіге белгісіз (зерттеуші-соқыр) айқаспалы зерттеуге қатысты, онда жүрек соғу жиілігін бақылауға арналған 4 препарат (дилтиазем, верапамил, метопролол және карведилол) салыстырылды.</t>
  </si>
  <si>
    <t>We analyzed five 20-minute segments per patient: baseline and the 4 drug regimens.</t>
  </si>
  <si>
    <t>Әрбір науқас үшін бес 20 минуттық сегмент талданды: бастапқы кезең және төрт дәрілік ем режимі.</t>
  </si>
  <si>
    <t>Әрбір науқас үшін бес 20 минуттық сегмент талданды: бастапқы кезең және төрт дәрілік ем  тәртібі.</t>
  </si>
  <si>
    <t>On every segment, heart rate (HR) variability and irregularity of RR series were computed.</t>
  </si>
  <si>
    <t>Әрбір сегментте жүрек соғу жиілігінің (HR) өзгергіштігі және RR интервалдарының ырғақсыздығы есептелді.</t>
  </si>
  <si>
    <t>Әрбір сегментте жүрек соғу жиілігінің (ЖСЖ) вариабельділігі мен RR қатарларының ретсіздігі есептелді.</t>
  </si>
  <si>
    <t>The variability was assessed as standard deviation, pNN20, pNN50, pNN80, and rMSSD.</t>
  </si>
  <si>
    <t>Өзгергіштік стандартты ауытқу, pNN20, pNN50, pNN80 және rMSSD көрсеткіштері бойынша бағаланды.</t>
  </si>
  <si>
    <t>A significantly lower HR was obtained with all drugs, the HR was lowest using the calcium channel blockers.</t>
  </si>
  <si>
    <t>Барлық дәрілік заттар жүрек соғу жиілігін (HR) айтарлықтай төмендетті, ал ең төменгі HR кальций каналдарын бөгейтін препараттармен байқалды.</t>
  </si>
  <si>
    <t>Барлық препараттар жүрек соғу жиілігін (ЖСЖ) айтарлықтай төмендетті, ал ең төменгі ЖСЖ кальций арналарын бөгейтін дәрілерді қолданғанда байқалды.</t>
  </si>
  <si>
    <t>All drugs increased the variability of ventricular response in respect to baseline (as an example, rMSSD: baseline 171±47 ms, carvedilol 229±58 ms; P &lt; 0.05 vs. baseline, metoprolol 226±66 ms; P &lt; 0.05 vs. baseline, verapamil 228±84 ms; P &lt; 0.05 vs. baseline, diltiazem 256±87 ms; P &lt; 0.05 vs. baseline and all other drugs).</t>
  </si>
  <si>
    <t>Барлық дәрілер қарыншалық жауаптың өзгергіштігін бастапқы көрсеткіштермен салыстырғанда арттырды (мысалы, rMSSD: бастапқы мәні 171±47 мс, карведилол – 229±58 мс; P &lt; 0.05, метопролол – 226±66 мс; P &lt; 0.05, верапамил – 228±84 мс; P &lt; 0.05, дилтиазем – 256±87 мс; P &lt; 0.05 барлық дәрілермен салыстырғанда).</t>
  </si>
  <si>
    <t>Only β-blockers significantly increased the irregularity of the RR series (as an example, ApEn: baseline 1.86±0.13, carvedilol 1.92±0.09; P &lt; 0.05 vs. baseline, metoprolol 1.93±0.08; P &lt; 0.05 vs. baseline, verapamil 1.86±0.22 ns, diltiazem 1.88±0.16 ns).</t>
  </si>
  <si>
    <t>Тек β-блокаторлар ғана RR-интервалдардың ырғақсыздығын айтарлықтай арттырды (мысалы, ApEn: бастапқы деңгейі – 1.86±0.13, карведилол – 1.92±0.09; P &lt; 0.05, метопролол – 1.93±0.08; P &lt; 0.05, верапамил – 1.86±0.22 ns, дилтиазем – 1.88±0.16 ns).</t>
  </si>
  <si>
    <t>Modification of AV node conduction by rate-control drugs increase RR variability, while only β-blockers affect irregularity.</t>
  </si>
  <si>
    <t>Жүрек ырғағын реттейтін препараттардың AV түйін арқылы өткізгіштікті өзгертуі RR-интервалдардың өзгергіштігін арттырады, бірақ тек β-блокаторлар ғана ырғақсыздыққа әсер етеді.</t>
  </si>
  <si>
    <t>Among patients with quiescent ulcerative colitis (UC), lower fecal concentrations of calprotectin are associated with lower rates of relapse.</t>
  </si>
  <si>
    <t>Симптомсыз ағымдағы ойық жаралы колиті (UC) бар науқастарда нәжістегі кальпротектиннің төмен концентрациясы рецидивтің төмен жиілігімен байланысты.</t>
  </si>
  <si>
    <t>Тынышталған ойық жаралы колиті (ОЖК) бар науқастар арасында нәжістегі кальпротектиннің төмен концентрациясы қайталану қаупінің төмен болуымен байланысты.</t>
  </si>
  <si>
    <t>Симптомсыз ағымды ойық жаралы колиті (UC) бар науқастарда нәжістегі кальпротектиннің төмен концентрациясы рецидивтің төмен жиілігімен байланысты.</t>
  </si>
  <si>
    <t>We performed an open-label, randomized controlled trial to investigate whether increasing doses of mesalamine reduce concentrations of fecal calprotectin (FC) in patients with quiescent UC.</t>
  </si>
  <si>
    <t>Симптомсыз ағымдағы UC бар науқастарда месаламин дозасын арттыру нәжістегі кальпротектин (FC) деңгейін төмендете ме – соны зерттеу үшін ашық, рандомизацияланған бақылаулы зерттеу жүргіздік.</t>
  </si>
  <si>
    <t>Біз тынышталған ойық жаралы колиті (ОЖК) бар пациенттерде мезаламиннің дозасын арттыру нәжістегі кальпротектин (НК) концентрациясын төмендетеді ме деген сұрақты зерттеу үшін ашық, рандомизацияланған бақылаулы зерттеу жүргіздік.</t>
  </si>
  <si>
    <t>We screened 119 patients with UC in remission on the basis of Simple Clinical Colitis Activity Index scores, FC &gt; 50 g/g, and intake of no more than 3 g/day mesalamine.</t>
  </si>
  <si>
    <t>Біз UC диагнозы қойылып, ремиссияда тұрған 119 науқасты қарапайым клиникалық колит белсенділік индексі, FC &gt; 50 г/г және тәулігіне 3 г-нан аспайтын месаламин дозасына сүйене отырып таңдадық.</t>
  </si>
  <si>
    <t>Біз ремиссиядағы ойық жаралы колиті (ОЖК) бар 119 науқасты қарастырдық, олардың қарапайым емханалық колит активтілігі индексі (СККАИ) көрсеткіштері, нәжістегі кальпротектин (НК) деңгейі 50 г/г-дан жоғары және күніне 3 г-нан артық емес мезаламин қабылдауы негізінде іріктелді.</t>
  </si>
  <si>
    <t>Participants taking mesalamine formulations other than multimatrix mesalamine were switched to multimatrix mesalamine (2.4 g/day) for 6 weeks; 52 participants were then randomly assigned (1:1) to a group that continued its current dose of mesalamine (controls, n = 26) or a group that increased its dose by 2.4 g/day for 6 weeks (n = 26).</t>
  </si>
  <si>
    <t>Мультиматрикс месаламинінен басқа месаламин түрлерін қабылдаған қатысушылар 6 апта бойы мультиматрикс месаламинге (2,4 г/тәулік) ауыстырылды; одан кейін 52 қатысушы кездейсоқ (1:1) екі топқа бөлінді: бірі бұрынғы дозасын сақтап қалды (бақылау тобы, n = 26), екіншісі месаламин дозасын 2,4 г/тәулікке арттырды (n = 26).</t>
  </si>
  <si>
    <t>Secondary outcomes were continued remission with FC &lt; 100 g/g or &lt; 200 g/g (among patients with pre-randomization values above these levels).</t>
  </si>
  <si>
    <t>Қосымша нәтижелер – рандомизацияға дейін FC деңгейі осы көрсеткіштерден жоғары болған науқастар арасында FC &lt; 100 г/г немесе &lt; 200 г/г болған кездегі ремиссияның сақталуы.</t>
  </si>
  <si>
    <t>Екінші деңгейлі нәтижелер ретінде алдын ала рандомизация алдындағы мәндері жоғары болған науқастар арасында нәжістегі кальпротектиннің (НК) 100 г/г немесе 200 г/г-нан төмен болуы шартында ремиссияның жалғасуы қарастырылды.</t>
  </si>
  <si>
    <t>The primary outcome was achieved by 3.8% of controls and 26.9% of the dose escalation group (P = .0496).</t>
  </si>
  <si>
    <t>Басты нәтиже бақылау тобындағы 3,8% және дозаны арттыру тобындағы 26,9% науқастарда тіркелді (P = .0496).</t>
  </si>
  <si>
    <t>More patients in the dose escalation group reduced FC to below 100 g/g (P = .04) and 200 g/g (P = .005).</t>
  </si>
  <si>
    <t>Дозаны арттыру тобындағы науқастардың көбірегі FC деңгейін &lt;100 г/г (P = .04) және &lt;200 г/г (P = .005) дейін төмендетті.</t>
  </si>
  <si>
    <t>Мөлшерден тыс  арттыру тобындағы науқастардың көбірегі FC деңгейін &lt;100 г/г (P = .04) және &lt;200 г/г (P = .005) дейін төмендетті.</t>
  </si>
  <si>
    <t>Among the patients who were still in remission after the randomization phase, clinical relapse occurred sooner in patients with FC &gt; 200 g/g compared with those with FC &lt; 200 g/g (P = .01).</t>
  </si>
  <si>
    <t>Рандомизация кезеңінен кейін ремиссияда болған науқастар арасында FC &gt; 200 г/г болғандардың FC &lt; 200 г/г тобына қарағанда клиникалық рецидиві ертерек байқалды (P = .01).</t>
  </si>
  <si>
    <t>Рандомизация кезеңінен кейін ремиссияда болған науқастар арасында FC &gt; 200 г/г болғандардың FC &lt; 200 г/г тобына қарағанда емханалық рецидиві ертерек байқалды (P = .01).</t>
  </si>
  <si>
    <t>Among patients with quiescent UC and increased levels of FC, increasing the dose of mesalamine by 2.4 g/day reduced fecal concentrations of calprotectin to those associated with lower rates of relapse.</t>
  </si>
  <si>
    <t>Симптомсыз ағымдағы ойық жаралы колиті (UC) бар және FC деңгейі жоғары науқастарда месаламин дозасын тәулігіне 2.4 г арттыру нәжістегі кальпротектин концентрациясын рецидив деңгейі төмен көрсеткіштерге дейін төмендетті.</t>
  </si>
  <si>
    <t>Despite standard statin therapy, a majority of patients retain a high “residual risk” of cardiovascular events.</t>
  </si>
  <si>
    <t>Стандартты статин терапиясына қарамастан, науқастардың көпшілігінде жүрек-қантамырлық асқынулардың «қалдық қаупі» жоғары күйінде қалады.</t>
  </si>
  <si>
    <t>The aim of this study was to evaluate the effects of ezetimibe plus atorvastatin versus atorvastatin monotherapy on the lipid profile and coronary atherosclerosis in Japanese patients who underwent percutaneous coronary intervention (PCI).</t>
  </si>
  <si>
    <t>Бұл зерттеудің мақсаты – перкутандық коронарлық араласу (PCI) жүргізілген жапондық науқастарда эзетимиб пен аторвастатиннің біріктірілген терапиясының липидтік профиль мен тәждік атеросклерозға әсерін тек аторвастатин монотерапиясымен салыстыра отырып бағалау болды.</t>
  </si>
  <si>
    <t>This trial was a prospective, randomized, controlled, multicenter study.</t>
  </si>
  <si>
    <t>Бұл зерттеу – проспективті, рандомизацияланған, бақыланатын, көпорталықты зерттеу болды.</t>
  </si>
  <si>
    <t>Бұл зерттеу –  болашаққа бағытталған, рандомизацияланған, бақыланатын, көпорталықты зерттеу болды.</t>
  </si>
  <si>
    <t>Serial volumetric intravascular ultrasound was performed at baseline and again at 9 to 12 months to quantify the coronary plaque response in 202 patients.</t>
  </si>
  <si>
    <t>202 науқаста тәж артериясындағы бляшканың реакциясын сандық бағалау үшін зерттеу басында және 9–12 айдан кейін қатарлы көлемдік интраваскулярлық ультрадыбыстық зерттеу жүргізілді.</t>
  </si>
  <si>
    <t>The combination of atorvastatin/ezetimibe resulted in lower levels of LDL-C than atorvastatin monotherapy (63.2 ± 16.3 mg/dl vs. 73.3 ± 20.3 mg/dl; p &lt; 0.001).</t>
  </si>
  <si>
    <t>Аторвастатин мен эзетимиб комбинациясы LDL-холестерин деңгейін тек аторвастатин қолданған топқа қарағанда төмендетті (63,2 ± 16,3 мг/дл қарсы 73,3 ± 20,3 мг/дл; p &lt; 0.001).</t>
  </si>
  <si>
    <t>For the absolute change in percent atheroma volume (PAV), the mean difference between the 2 groups (−1.538%; 95% CI: −3.079% to 0.003%) did not exceed the pre-defined noninferiority margin of 3%, but the absolute change in PAV did show superiority for the dual lipid-lowering strategy (−1.4%; 95% CI: −3.4% to −0.1%) vs. (−0.3%; 95% CI: −1.9% to 0.9%) with atorvastatin alone; p = 0.001).</t>
  </si>
  <si>
    <t>Атерома көлемінің пайыздық абсолюттік өзгерісі (PAV) бойынша екі топ арасындағы орташа айырмашылық (−1,538%; 95% сенімділік интервал: −3,079% – 0,003%) алдын ала белгіленген бейкемелділік шегінен аспады, бірақ қос липидті төмендету стратегиясы бойынша абсолюттік өзгеріс артықшылық көрсетті (−1,4%; 95% CI: −3,4% – −0,1%) қарсы (−0,3%; 95% CI: −1,9% – 0,9%) тек аторвастатинмен; p = 0.001).</t>
  </si>
  <si>
    <t>Both strategies had acceptable side effect profiles, with a low incidence of laboratory abnormalities and cardiovascular events.</t>
  </si>
  <si>
    <t>Екі стратегия да жағымсыз әсерлердің қолайлы бейініне ие болды, зертханалық ауытқулар мен жүрек-қантамыр оқиғалары сирек кездесті.</t>
  </si>
  <si>
    <t>Compared with standard statin monotherapy, the combination of statin plus ezetimibe showed greater coronary plaque regression, which might be attributed to cholesterol absorption inhibition-induced aggressive lipid lowering.</t>
  </si>
  <si>
    <t>Статиннің стандартты монотерапиясымен салыстырғанда, статин мен эзетимиб комбинациясы тәждік бляшкалардың кері дамуын анағұрлым жақсы көрсетті, бұл холестерин сіңірілуін тежеу арқылы жүзеге асатын липидті агрессивті төмендетумен байланысты болуы мүмкін.</t>
  </si>
  <si>
    <t>Likewise, the agricultural/pasture area, which was 939.51 hectares in 2013, decreased to 931.32 hectares in 2020.</t>
  </si>
  <si>
    <t>Сол сияқты, 2013 жылы 939,51 гектарды құраған ауыл шаруашылығы/жайылымдық жер көлемі 2020 жылы 931,32 гектарға дейін азайды.</t>
  </si>
  <si>
    <t>The dark soil area, which was 1222.38 hectares in 2013, decreased to 1072.71 hectares by 2020.</t>
  </si>
  <si>
    <t>2013 жылы 1222,38 гектар болған қара топырақ аумағы 2020 жылға қарай 1072,71 гектарға дейін азайды.</t>
  </si>
  <si>
    <t>Similarly, the light soil area, which was 296.01 hectares in 2013, decreased gradually until 2020.</t>
  </si>
  <si>
    <t>Сол сияқты, 2013 жылы 296,01 гектарды құраған ашық топырақ аумағы 2020 жылға дейін біртіндеп азайды.</t>
  </si>
  <si>
    <t>Kappa coefficient, which was formed from error matrices, was used in the accuracy evaluation stage, where the accuracy of the classification was examined (Çetinkaya and Toz, 2007).</t>
  </si>
  <si>
    <t>Классификация дәлдігін бағалау кезеңінде қателік матрицаларынан алынған Каппа коэффициенті қолданылды (Çetinkaya және Toz, 2007).</t>
  </si>
  <si>
    <t>Kappa value takes a value between 0 and 1, and it is desirable for the Kappa value to be 1 (Çetinkaya and Toz, 2007).</t>
  </si>
  <si>
    <t>Каппа мәні 0 мен 1 аралығында болады, және оның 1-ге тең болуы қалаулы (Çetinkaya және Toz, 2007).</t>
  </si>
  <si>
    <t>с</t>
  </si>
  <si>
    <t xml:space="preserve">Language structure </t>
  </si>
  <si>
    <t xml:space="preserve">Number of mistakes </t>
  </si>
  <si>
    <t>Semantics</t>
  </si>
  <si>
    <t>Lexical</t>
  </si>
  <si>
    <t xml:space="preserve">NoErr </t>
  </si>
  <si>
    <t>Total</t>
  </si>
  <si>
    <t>Morphology</t>
  </si>
  <si>
    <t>Style</t>
  </si>
  <si>
    <t>Word Order</t>
  </si>
  <si>
    <t>Lexical, cинтаксис</t>
  </si>
  <si>
    <t xml:space="preserve">Idiom </t>
  </si>
  <si>
    <t>NoErr</t>
  </si>
  <si>
    <t>Lexical,Morphology</t>
  </si>
  <si>
    <t>Morphology, Lexical</t>
  </si>
  <si>
    <t xml:space="preserve">Total </t>
  </si>
  <si>
    <t xml:space="preserve">Semantics,Idiom </t>
  </si>
  <si>
    <t xml:space="preserve">Semantics </t>
  </si>
  <si>
    <t>style</t>
  </si>
  <si>
    <t>style, Semantics</t>
  </si>
  <si>
    <t>Type of mistake</t>
  </si>
  <si>
    <t>Chatgpt</t>
  </si>
  <si>
    <t>Fine turned</t>
  </si>
  <si>
    <t>fine turned</t>
  </si>
  <si>
    <t>chatgpt</t>
  </si>
  <si>
    <t>fineturned</t>
  </si>
  <si>
    <t xml:space="preserve">chatgpt </t>
  </si>
  <si>
    <t>Postedit</t>
  </si>
  <si>
    <t xml:space="preserve">human </t>
  </si>
  <si>
    <t>ter</t>
  </si>
  <si>
    <t>0.2331</t>
  </si>
  <si>
    <t>0.0751</t>
  </si>
  <si>
    <t xml:space="preserve">meteor </t>
  </si>
  <si>
    <t>bleu</t>
  </si>
  <si>
    <t>0.7271</t>
  </si>
  <si>
    <t>0.8682</t>
  </si>
  <si>
    <t>0.9072</t>
  </si>
  <si>
    <t>0.7590</t>
  </si>
  <si>
    <t>human</t>
  </si>
  <si>
    <t>Englishmed</t>
  </si>
  <si>
    <t>Posteditmed</t>
  </si>
  <si>
    <t>0.6073</t>
  </si>
  <si>
    <t>0.9019</t>
  </si>
  <si>
    <t>0.9217</t>
  </si>
  <si>
    <t>0.7093</t>
  </si>
  <si>
    <t>Ter</t>
  </si>
  <si>
    <t>0.3213</t>
  </si>
  <si>
    <t xml:space="preserve"> 0.0369</t>
  </si>
  <si>
    <t>meteor</t>
  </si>
  <si>
    <t>Englishlegal</t>
  </si>
  <si>
    <t>Postedilegal</t>
  </si>
  <si>
    <t>0.9281</t>
  </si>
  <si>
    <t>0.3190</t>
  </si>
  <si>
    <t>0.5407</t>
  </si>
  <si>
    <t>0.0379</t>
  </si>
  <si>
    <t>0.9089</t>
  </si>
  <si>
    <t>0.4916</t>
  </si>
  <si>
    <t>Posteditfiction</t>
  </si>
  <si>
    <t>0.7704</t>
  </si>
  <si>
    <t>0.6742</t>
  </si>
  <si>
    <t xml:space="preserve"> 0.2254</t>
  </si>
  <si>
    <t>0.1036</t>
  </si>
  <si>
    <t>0.7578</t>
  </si>
  <si>
    <t>0.8383</t>
  </si>
  <si>
    <t>chatgptfiction</t>
  </si>
  <si>
    <t>Posteditoral</t>
  </si>
  <si>
    <t>0.8220</t>
  </si>
  <si>
    <t>0.7871</t>
  </si>
  <si>
    <t xml:space="preserve"> 0.2012</t>
  </si>
  <si>
    <t>0.1258</t>
  </si>
  <si>
    <t>0.7861</t>
  </si>
  <si>
    <t>0.8035</t>
  </si>
  <si>
    <t>Posteditscience</t>
  </si>
  <si>
    <t>0.9608</t>
  </si>
  <si>
    <t>0.6410</t>
  </si>
  <si>
    <t>0.2792</t>
  </si>
  <si>
    <t>0.0166</t>
  </si>
  <si>
    <t>0.9434</t>
  </si>
  <si>
    <t>0.7184</t>
  </si>
  <si>
    <t>Postedit-1</t>
  </si>
  <si>
    <t>0.9062</t>
  </si>
  <si>
    <t>0.6195</t>
  </si>
  <si>
    <t>0.0674</t>
  </si>
  <si>
    <t>0.2744</t>
  </si>
  <si>
    <t>0.7369</t>
  </si>
  <si>
    <t>0.9166</t>
  </si>
  <si>
    <t>Posteditmedcorp</t>
  </si>
  <si>
    <t>0.8297</t>
  </si>
  <si>
    <t>0.7908</t>
  </si>
  <si>
    <t>0.2002</t>
  </si>
  <si>
    <t>0.1221</t>
  </si>
  <si>
    <t>0.8017</t>
  </si>
  <si>
    <t>0.8066</t>
  </si>
  <si>
    <t>Posteditspaper</t>
  </si>
  <si>
    <t>0.6944</t>
  </si>
  <si>
    <t>0.9297</t>
  </si>
  <si>
    <t>fineturnedmed</t>
  </si>
  <si>
    <t>chatgptmed</t>
  </si>
  <si>
    <t xml:space="preserve">fineturnedlegal </t>
  </si>
  <si>
    <t>fineturnrdfiction</t>
  </si>
  <si>
    <t>fineturnedoral</t>
  </si>
  <si>
    <t>chatgptoral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</si>
</sst>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scheme val="minor"/>
    </font>
    <font>
      <sz val="10"/>
      <color theme="1"/>
      <name val="Arial"/>
    </font>
    <font>
      <sz val="10"/>
      <color theme="1"/>
      <name val="Arial"/>
      <scheme val="minor"/>
    </font>
    <font>
      <sz val="10"/>
      <color rgb="FF000000"/>
      <name val="Arial"/>
    </font>
    <font>
      <sz val="10"/>
      <color theme="1"/>
      <name val="Arial"/>
      <family val="2"/>
      <charset val="204"/>
      <scheme val="minor"/>
    </font>
    <font>
      <sz val="10"/>
      <color rgb="FFFF0000"/>
      <name val="Arial"/>
      <family val="2"/>
      <charset val="204"/>
      <scheme val="minor"/>
    </font>
    <font>
      <sz val="10"/>
      <color rgb="FF000000"/>
      <name val="Arial"/>
      <family val="2"/>
      <charset val="204"/>
    </font>
    <font>
      <sz val="10"/>
      <color rgb="FFFF0000"/>
      <name val="Arial"/>
      <family val="2"/>
      <charset val="204"/>
    </font>
    <font>
      <b/>
      <sz val="10"/>
      <color theme="1"/>
      <name val="Arial"/>
      <family val="2"/>
      <charset val="204"/>
      <scheme val="minor"/>
    </font>
    <font>
      <sz val="10"/>
      <color theme="1"/>
      <name val="Arial"/>
      <family val="2"/>
      <charset val="204"/>
    </font>
    <font>
      <b/>
      <sz val="10"/>
      <color rgb="FFFF0000"/>
      <name val="Arial"/>
      <family val="2"/>
      <charset val="204"/>
      <scheme val="minor"/>
    </font>
    <font>
      <b/>
      <sz val="14"/>
      <color rgb="FFFF0000"/>
      <name val="Arial"/>
      <family val="2"/>
      <charset val="204"/>
      <scheme val="minor"/>
    </font>
    <font>
      <b/>
      <sz val="12"/>
      <color rgb="FFFF0000"/>
      <name val="Arial"/>
      <family val="2"/>
      <charset val="204"/>
      <scheme val="minor"/>
    </font>
    <font>
      <b/>
      <sz val="12"/>
      <color rgb="FFFF0000"/>
      <name val="Arial"/>
      <family val="2"/>
      <charset val="204"/>
    </font>
    <font>
      <b/>
      <sz val="10"/>
      <color rgb="FF000000"/>
      <name val="Arial"/>
      <family val="2"/>
      <charset val="204"/>
    </font>
    <font>
      <b/>
      <sz val="14"/>
      <name val="Times New Roman"/>
      <family val="1"/>
      <charset val="204"/>
    </font>
    <font>
      <sz val="10"/>
      <name val="Arial"/>
      <family val="2"/>
      <charset val="204"/>
    </font>
    <font>
      <sz val="10"/>
      <name val="Arial"/>
      <family val="2"/>
      <charset val="204"/>
      <scheme val="minor"/>
    </font>
    <font>
      <b/>
      <sz val="14"/>
      <name val="Arial"/>
      <family val="2"/>
      <charset val="204"/>
      <scheme val="minor"/>
    </font>
    <font>
      <b/>
      <sz val="16"/>
      <color theme="8"/>
      <name val="Arial"/>
      <family val="2"/>
      <charset val="204"/>
      <scheme val="minor"/>
    </font>
    <font>
      <b/>
      <sz val="12"/>
      <color theme="1"/>
      <name val="Arial"/>
      <family val="2"/>
      <charset val="204"/>
      <scheme val="minor"/>
    </font>
    <font>
      <sz val="14"/>
      <color theme="1"/>
      <name val="Times New Roman"/>
      <family val="1"/>
      <charset val="204"/>
    </font>
    <font>
      <sz val="14"/>
      <color rgb="FF000000"/>
      <name val="Times New Roman"/>
      <family val="1"/>
      <charset val="204"/>
    </font>
    <font>
      <b/>
      <sz val="14"/>
      <color theme="8"/>
      <name val="Times New Roman"/>
      <family val="1"/>
      <charset val="204"/>
    </font>
    <font>
      <b/>
      <sz val="14"/>
      <color rgb="FFFF0000"/>
      <name val="Times New Roman"/>
      <family val="1"/>
      <charset val="204"/>
    </font>
    <font>
      <b/>
      <sz val="10"/>
      <color theme="1"/>
      <name val="Arial"/>
      <family val="2"/>
      <charset val="204"/>
    </font>
    <font>
      <sz val="10"/>
      <color rgb="FF000000"/>
      <name val="Arial"/>
      <family val="2"/>
      <charset val="204"/>
      <scheme val="minor"/>
    </font>
    <font>
      <b/>
      <sz val="12"/>
      <color theme="1"/>
      <name val="Times New Roman"/>
      <family val="1"/>
      <charset val="204"/>
    </font>
    <font>
      <b/>
      <sz val="12"/>
      <name val="Times New Roman"/>
      <family val="1"/>
      <charset val="204"/>
    </font>
    <font>
      <b/>
      <sz val="12"/>
      <color rgb="FFFF0000"/>
      <name val="Times New Roman"/>
      <family val="1"/>
      <charset val="204"/>
    </font>
    <font>
      <sz val="11"/>
      <color rgb="FF000000"/>
      <name val="Courier New"/>
      <family val="3"/>
      <charset val="204"/>
    </font>
    <font>
      <b/>
      <sz val="10"/>
      <color rgb="FFFF0000"/>
      <name val="Arial"/>
      <family val="2"/>
      <charset val="204"/>
    </font>
    <font>
      <sz val="12"/>
      <color rgb="FF000000"/>
      <name val="Arial"/>
      <family val="2"/>
      <charset val="204"/>
      <scheme val="minor"/>
    </font>
    <font>
      <sz val="11"/>
      <color theme="3"/>
      <name val="Courier New"/>
      <family val="3"/>
      <charset val="204"/>
    </font>
    <font>
      <sz val="10"/>
      <color theme="3"/>
      <name val="Arial"/>
      <family val="2"/>
      <charset val="204"/>
      <scheme val="minor"/>
    </font>
  </fonts>
  <fills count="5">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theme="4"/>
        <bgColor indexed="64"/>
      </patternFill>
    </fill>
  </fills>
  <borders count="13">
    <border>
      <left/>
      <right/>
      <top/>
      <bottom/>
      <diagonal/>
    </border>
    <border>
      <left/>
      <right/>
      <top/>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medium">
        <color rgb="FF000000"/>
      </left>
      <right style="medium">
        <color rgb="FF000000"/>
      </right>
      <top/>
      <bottom/>
      <diagonal/>
    </border>
    <border>
      <left style="medium">
        <color rgb="FFCCCCCC"/>
      </left>
      <right style="medium">
        <color rgb="FF000000"/>
      </right>
      <top/>
      <bottom/>
      <diagonal/>
    </border>
    <border>
      <left style="thin">
        <color indexed="64"/>
      </left>
      <right style="thin">
        <color indexed="64"/>
      </right>
      <top/>
      <bottom style="thin">
        <color indexed="64"/>
      </bottom>
      <diagonal/>
    </border>
  </borders>
  <cellStyleXfs count="1">
    <xf numFmtId="0" fontId="0" fillId="0" borderId="0"/>
  </cellStyleXfs>
  <cellXfs count="105">
    <xf numFmtId="0" fontId="0" fillId="0" borderId="0" xfId="0" applyFont="1" applyAlignment="1"/>
    <xf numFmtId="0" fontId="1" fillId="0" borderId="0" xfId="0" applyFont="1"/>
    <xf numFmtId="0" fontId="1" fillId="0" borderId="0" xfId="0" applyFont="1" applyAlignment="1">
      <alignment wrapText="1"/>
    </xf>
    <xf numFmtId="0" fontId="1" fillId="0" borderId="0" xfId="0" applyFont="1" applyAlignment="1">
      <alignment horizontal="right"/>
    </xf>
    <xf numFmtId="0" fontId="2" fillId="0" borderId="0" xfId="0" applyFont="1"/>
    <xf numFmtId="0" fontId="3" fillId="0" borderId="3" xfId="0" applyFont="1" applyBorder="1" applyAlignment="1">
      <alignment horizontal="right" wrapText="1"/>
    </xf>
    <xf numFmtId="0" fontId="3" fillId="0" borderId="5" xfId="0" applyFont="1" applyBorder="1" applyAlignment="1">
      <alignment horizontal="right" wrapText="1"/>
    </xf>
    <xf numFmtId="0" fontId="2" fillId="0" borderId="6" xfId="0" applyFont="1" applyBorder="1" applyAlignment="1"/>
    <xf numFmtId="0" fontId="1" fillId="0" borderId="0" xfId="0" applyFont="1" applyAlignment="1">
      <alignment vertical="center" wrapText="1"/>
    </xf>
    <xf numFmtId="0" fontId="2" fillId="0" borderId="0" xfId="0" applyFont="1" applyAlignment="1"/>
    <xf numFmtId="0" fontId="4" fillId="0" borderId="7" xfId="0" applyFont="1" applyBorder="1" applyAlignment="1"/>
    <xf numFmtId="0" fontId="4" fillId="0" borderId="6" xfId="0" applyFont="1" applyBorder="1" applyAlignment="1"/>
    <xf numFmtId="0" fontId="6" fillId="0" borderId="2" xfId="0" applyFont="1" applyBorder="1" applyAlignment="1">
      <alignment wrapText="1"/>
    </xf>
    <xf numFmtId="0" fontId="6" fillId="0" borderId="4" xfId="0" applyFont="1" applyBorder="1" applyAlignment="1">
      <alignment wrapText="1"/>
    </xf>
    <xf numFmtId="0" fontId="4" fillId="0" borderId="1" xfId="0" applyFont="1" applyBorder="1" applyAlignment="1"/>
    <xf numFmtId="0" fontId="4" fillId="3" borderId="1" xfId="0" applyFont="1" applyFill="1" applyBorder="1" applyAlignment="1"/>
    <xf numFmtId="0" fontId="5" fillId="0" borderId="1" xfId="0" applyFont="1" applyFill="1" applyBorder="1" applyAlignment="1"/>
    <xf numFmtId="0" fontId="4" fillId="0" borderId="1" xfId="0" applyFont="1" applyFill="1" applyBorder="1" applyAlignment="1"/>
    <xf numFmtId="0" fontId="5" fillId="0" borderId="7" xfId="0" applyFont="1" applyBorder="1" applyAlignment="1"/>
    <xf numFmtId="0" fontId="7" fillId="0" borderId="7" xfId="0" applyFont="1" applyFill="1" applyBorder="1" applyAlignment="1">
      <alignment horizontal="right" wrapText="1"/>
    </xf>
    <xf numFmtId="0" fontId="6" fillId="0" borderId="1" xfId="0" applyFont="1" applyBorder="1" applyAlignment="1">
      <alignment wrapText="1"/>
    </xf>
    <xf numFmtId="0" fontId="3" fillId="0" borderId="1" xfId="0" applyFont="1" applyBorder="1" applyAlignment="1">
      <alignment horizontal="right" wrapText="1"/>
    </xf>
    <xf numFmtId="0" fontId="5" fillId="0" borderId="1" xfId="0" applyFont="1" applyBorder="1" applyAlignment="1"/>
    <xf numFmtId="0" fontId="7" fillId="0" borderId="1" xfId="0" applyFont="1" applyFill="1" applyBorder="1" applyAlignment="1">
      <alignment horizontal="right" wrapText="1"/>
    </xf>
    <xf numFmtId="0" fontId="6" fillId="0" borderId="1" xfId="0" applyFont="1" applyFill="1" applyBorder="1" applyAlignment="1">
      <alignment wrapText="1"/>
    </xf>
    <xf numFmtId="0" fontId="3" fillId="0" borderId="1" xfId="0" applyFont="1" applyFill="1" applyBorder="1" applyAlignment="1">
      <alignment horizontal="right" wrapText="1"/>
    </xf>
    <xf numFmtId="0" fontId="0" fillId="0" borderId="0" xfId="0" applyFont="1" applyFill="1" applyAlignment="1"/>
    <xf numFmtId="0" fontId="0" fillId="0" borderId="7" xfId="0" applyFont="1" applyBorder="1" applyAlignment="1"/>
    <xf numFmtId="0" fontId="10" fillId="0" borderId="6" xfId="0" applyFont="1" applyFill="1" applyBorder="1" applyAlignment="1">
      <alignment horizontal="center"/>
    </xf>
    <xf numFmtId="0" fontId="11" fillId="0" borderId="7" xfId="0" applyFont="1" applyBorder="1" applyAlignment="1">
      <alignment horizontal="center"/>
    </xf>
    <xf numFmtId="0" fontId="12" fillId="0" borderId="7" xfId="0" applyFont="1" applyBorder="1" applyAlignment="1">
      <alignment horizontal="center"/>
    </xf>
    <xf numFmtId="0" fontId="13" fillId="0" borderId="7" xfId="0" applyFont="1" applyFill="1" applyBorder="1" applyAlignment="1">
      <alignment horizontal="center" wrapText="1"/>
    </xf>
    <xf numFmtId="0" fontId="9" fillId="0" borderId="0" xfId="0" applyFont="1"/>
    <xf numFmtId="0" fontId="12" fillId="0" borderId="1" xfId="0" applyFont="1" applyBorder="1" applyAlignment="1">
      <alignment horizontal="center"/>
    </xf>
    <xf numFmtId="0" fontId="13" fillId="0" borderId="1" xfId="0" applyFont="1" applyFill="1" applyBorder="1" applyAlignment="1">
      <alignment horizontal="center" wrapText="1"/>
    </xf>
    <xf numFmtId="0" fontId="6" fillId="0" borderId="2" xfId="0" applyFont="1" applyFill="1" applyBorder="1" applyAlignment="1">
      <alignment wrapText="1"/>
    </xf>
    <xf numFmtId="0" fontId="3" fillId="0" borderId="3" xfId="0" applyFont="1" applyFill="1" applyBorder="1" applyAlignment="1">
      <alignment horizontal="right"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8" xfId="0" applyFont="1" applyBorder="1" applyAlignment="1">
      <alignment horizontal="center" wrapText="1"/>
    </xf>
    <xf numFmtId="0" fontId="8" fillId="0" borderId="7" xfId="0" applyFont="1" applyBorder="1" applyAlignment="1">
      <alignment horizontal="center"/>
    </xf>
    <xf numFmtId="0" fontId="15" fillId="0" borderId="9" xfId="0" applyFont="1" applyBorder="1" applyAlignment="1">
      <alignment horizontal="center"/>
    </xf>
    <xf numFmtId="0" fontId="16" fillId="0" borderId="7" xfId="0" applyFont="1" applyBorder="1" applyAlignment="1">
      <alignment wrapText="1"/>
    </xf>
    <xf numFmtId="0" fontId="16" fillId="0" borderId="7" xfId="0" applyFont="1" applyBorder="1" applyAlignment="1">
      <alignment horizontal="right" wrapText="1"/>
    </xf>
    <xf numFmtId="0" fontId="16" fillId="0" borderId="10" xfId="0" applyFont="1" applyBorder="1" applyAlignment="1">
      <alignment wrapText="1"/>
    </xf>
    <xf numFmtId="0" fontId="16" fillId="0" borderId="11" xfId="0" applyFont="1" applyBorder="1" applyAlignment="1">
      <alignment horizontal="right" wrapText="1"/>
    </xf>
    <xf numFmtId="0" fontId="17" fillId="0" borderId="6" xfId="0" applyFont="1" applyBorder="1" applyAlignment="1"/>
    <xf numFmtId="0" fontId="17" fillId="0" borderId="8" xfId="0" applyFont="1" applyFill="1" applyBorder="1" applyAlignment="1"/>
    <xf numFmtId="0" fontId="17" fillId="0" borderId="7" xfId="0" applyFont="1" applyBorder="1" applyAlignment="1"/>
    <xf numFmtId="0" fontId="18" fillId="0" borderId="12" xfId="0" applyFont="1" applyBorder="1" applyAlignment="1">
      <alignment horizontal="center"/>
    </xf>
    <xf numFmtId="0" fontId="19" fillId="0" borderId="7" xfId="0" applyFont="1" applyBorder="1" applyAlignment="1">
      <alignment horizontal="center"/>
    </xf>
    <xf numFmtId="0" fontId="20" fillId="0" borderId="7" xfId="0" applyFont="1" applyBorder="1" applyAlignment="1">
      <alignment horizontal="center"/>
    </xf>
    <xf numFmtId="0" fontId="6" fillId="0" borderId="7" xfId="0" applyFont="1" applyBorder="1" applyAlignment="1">
      <alignment wrapText="1"/>
    </xf>
    <xf numFmtId="0" fontId="3" fillId="0" borderId="7" xfId="0" applyFont="1" applyBorder="1" applyAlignment="1">
      <alignment horizontal="right" wrapText="1"/>
    </xf>
    <xf numFmtId="0" fontId="6" fillId="0" borderId="7" xfId="0" applyFont="1" applyFill="1" applyBorder="1" applyAlignment="1">
      <alignment wrapText="1"/>
    </xf>
    <xf numFmtId="0" fontId="3" fillId="0" borderId="7" xfId="0" applyFont="1" applyFill="1" applyBorder="1" applyAlignment="1">
      <alignment horizontal="right" wrapText="1"/>
    </xf>
    <xf numFmtId="0" fontId="4" fillId="0" borderId="7" xfId="0" applyFont="1" applyFill="1" applyBorder="1" applyAlignment="1"/>
    <xf numFmtId="0" fontId="2" fillId="0" borderId="7" xfId="0" applyFont="1" applyFill="1" applyBorder="1" applyAlignment="1"/>
    <xf numFmtId="0" fontId="21" fillId="0" borderId="7" xfId="0" applyFont="1" applyBorder="1" applyAlignment="1"/>
    <xf numFmtId="0" fontId="23" fillId="0" borderId="7" xfId="0" applyFont="1" applyBorder="1" applyAlignment="1">
      <alignment horizontal="center"/>
    </xf>
    <xf numFmtId="0" fontId="21" fillId="0" borderId="7" xfId="0" applyFont="1" applyBorder="1" applyAlignment="1">
      <alignment horizontal="left"/>
    </xf>
    <xf numFmtId="0" fontId="22" fillId="0" borderId="7" xfId="0" applyFont="1" applyBorder="1" applyAlignment="1">
      <alignment horizontal="left" wrapText="1"/>
    </xf>
    <xf numFmtId="0" fontId="22" fillId="0" borderId="7" xfId="0" applyFont="1" applyBorder="1" applyAlignment="1">
      <alignment horizontal="left"/>
    </xf>
    <xf numFmtId="0" fontId="22" fillId="0" borderId="2" xfId="0" applyFont="1" applyBorder="1" applyAlignment="1">
      <alignment wrapText="1"/>
    </xf>
    <xf numFmtId="0" fontId="22" fillId="0" borderId="3" xfId="0" applyFont="1" applyBorder="1" applyAlignment="1">
      <alignment horizontal="right" wrapText="1"/>
    </xf>
    <xf numFmtId="0" fontId="22" fillId="0" borderId="4" xfId="0" applyFont="1" applyFill="1" applyBorder="1" applyAlignment="1">
      <alignment wrapText="1"/>
    </xf>
    <xf numFmtId="0" fontId="22" fillId="0" borderId="5" xfId="0" applyFont="1" applyFill="1" applyBorder="1" applyAlignment="1">
      <alignment horizontal="right" wrapText="1"/>
    </xf>
    <xf numFmtId="0" fontId="24" fillId="0" borderId="7" xfId="0" applyFont="1" applyBorder="1" applyAlignment="1">
      <alignment horizontal="center"/>
    </xf>
    <xf numFmtId="0" fontId="25" fillId="2" borderId="1" xfId="0" applyFont="1" applyFill="1" applyBorder="1" applyAlignment="1">
      <alignment horizontal="center"/>
    </xf>
    <xf numFmtId="0" fontId="25" fillId="2" borderId="1" xfId="0" applyFont="1" applyFill="1" applyBorder="1" applyAlignment="1">
      <alignment horizontal="center" wrapText="1"/>
    </xf>
    <xf numFmtId="0" fontId="25" fillId="0" borderId="1" xfId="0" applyFont="1" applyFill="1" applyBorder="1" applyAlignment="1">
      <alignment horizontal="center"/>
    </xf>
    <xf numFmtId="0" fontId="25" fillId="0" borderId="1" xfId="0" applyFont="1" applyFill="1" applyBorder="1" applyAlignment="1">
      <alignment horizontal="center" wrapText="1"/>
    </xf>
    <xf numFmtId="0" fontId="26" fillId="0" borderId="0" xfId="0" applyFont="1" applyAlignment="1"/>
    <xf numFmtId="0" fontId="7" fillId="4" borderId="2" xfId="0" applyFont="1" applyFill="1" applyBorder="1" applyAlignment="1">
      <alignment wrapText="1"/>
    </xf>
    <xf numFmtId="0" fontId="7" fillId="4" borderId="3" xfId="0" applyFont="1" applyFill="1" applyBorder="1" applyAlignment="1">
      <alignment horizontal="right" wrapText="1"/>
    </xf>
    <xf numFmtId="0" fontId="7" fillId="4" borderId="4" xfId="0" applyFont="1" applyFill="1" applyBorder="1" applyAlignment="1">
      <alignment wrapText="1"/>
    </xf>
    <xf numFmtId="0" fontId="7" fillId="4" borderId="5" xfId="0" applyFont="1" applyFill="1" applyBorder="1" applyAlignment="1">
      <alignment horizontal="right" wrapText="1"/>
    </xf>
    <xf numFmtId="0" fontId="7" fillId="0" borderId="2" xfId="0" applyFont="1" applyBorder="1" applyAlignment="1">
      <alignment wrapText="1"/>
    </xf>
    <xf numFmtId="0" fontId="7" fillId="0" borderId="3" xfId="0" applyFont="1" applyBorder="1" applyAlignment="1">
      <alignment horizontal="right" wrapText="1"/>
    </xf>
    <xf numFmtId="0" fontId="27" fillId="0" borderId="7" xfId="0" applyFont="1" applyBorder="1" applyAlignment="1"/>
    <xf numFmtId="0" fontId="28" fillId="0" borderId="2" xfId="0" applyFont="1" applyFill="1" applyBorder="1" applyAlignment="1">
      <alignment wrapText="1"/>
    </xf>
    <xf numFmtId="0" fontId="28" fillId="0" borderId="3" xfId="0" applyFont="1" applyFill="1" applyBorder="1" applyAlignment="1">
      <alignment horizontal="right" wrapText="1"/>
    </xf>
    <xf numFmtId="0" fontId="28" fillId="0" borderId="4" xfId="0" applyFont="1" applyFill="1" applyBorder="1" applyAlignment="1">
      <alignment wrapText="1"/>
    </xf>
    <xf numFmtId="0" fontId="28" fillId="0" borderId="5" xfId="0" applyFont="1" applyFill="1" applyBorder="1" applyAlignment="1">
      <alignment horizontal="right" wrapText="1"/>
    </xf>
    <xf numFmtId="0" fontId="29" fillId="0" borderId="7" xfId="0" applyFont="1" applyFill="1" applyBorder="1" applyAlignment="1">
      <alignment horizontal="center"/>
    </xf>
    <xf numFmtId="0" fontId="29" fillId="0" borderId="7" xfId="0" applyFont="1" applyFill="1" applyBorder="1" applyAlignment="1">
      <alignment horizontal="center" wrapText="1"/>
    </xf>
    <xf numFmtId="0" fontId="1" fillId="0" borderId="7" xfId="0" applyFont="1" applyBorder="1" applyAlignment="1">
      <alignment horizontal="center"/>
    </xf>
    <xf numFmtId="0" fontId="9" fillId="0" borderId="7" xfId="0" applyFont="1" applyFill="1" applyBorder="1" applyAlignment="1">
      <alignment horizontal="center" wrapText="1"/>
    </xf>
    <xf numFmtId="0" fontId="9" fillId="0" borderId="7" xfId="0" applyFont="1" applyBorder="1" applyAlignment="1">
      <alignment horizontal="center"/>
    </xf>
    <xf numFmtId="0" fontId="1" fillId="0" borderId="7" xfId="0" applyFont="1" applyBorder="1" applyAlignment="1">
      <alignment horizontal="center" wrapText="1"/>
    </xf>
    <xf numFmtId="0" fontId="31" fillId="0" borderId="7" xfId="0" applyFont="1" applyBorder="1" applyAlignment="1">
      <alignment horizontal="center"/>
    </xf>
    <xf numFmtId="0" fontId="1" fillId="0" borderId="7" xfId="0" applyFont="1" applyBorder="1" applyAlignment="1">
      <alignment wrapText="1"/>
    </xf>
    <xf numFmtId="0" fontId="10" fillId="0" borderId="7" xfId="0" applyFont="1" applyBorder="1" applyAlignment="1">
      <alignment horizontal="center"/>
    </xf>
    <xf numFmtId="0" fontId="30" fillId="0" borderId="7" xfId="0" applyFont="1" applyBorder="1" applyAlignment="1">
      <alignment horizontal="left" vertical="center"/>
    </xf>
    <xf numFmtId="0" fontId="26" fillId="0" borderId="7" xfId="0" applyFont="1" applyBorder="1" applyAlignment="1"/>
    <xf numFmtId="0" fontId="32" fillId="0" borderId="7" xfId="0" applyFont="1" applyBorder="1" applyAlignment="1"/>
    <xf numFmtId="0" fontId="0" fillId="3" borderId="0" xfId="0" applyFont="1" applyFill="1" applyAlignment="1"/>
    <xf numFmtId="0" fontId="26" fillId="3" borderId="0" xfId="0" applyFont="1" applyFill="1" applyAlignment="1"/>
    <xf numFmtId="0" fontId="12" fillId="0" borderId="7" xfId="0" applyFont="1" applyBorder="1" applyAlignment="1"/>
    <xf numFmtId="0" fontId="1" fillId="0" borderId="7" xfId="0" applyFont="1" applyBorder="1"/>
    <xf numFmtId="0" fontId="13" fillId="0" borderId="7" xfId="0" applyFont="1" applyBorder="1" applyAlignment="1">
      <alignment horizontal="center" wrapText="1"/>
    </xf>
    <xf numFmtId="0" fontId="13" fillId="0" borderId="7" xfId="0" applyFont="1" applyBorder="1" applyAlignment="1">
      <alignment horizontal="center"/>
    </xf>
    <xf numFmtId="0" fontId="33" fillId="0" borderId="7" xfId="0" applyFont="1" applyBorder="1" applyAlignment="1">
      <alignment horizontal="center" vertical="center"/>
    </xf>
    <xf numFmtId="0" fontId="34" fillId="0" borderId="7" xfId="0" applyFont="1" applyBorder="1" applyAlignment="1"/>
    <xf numFmtId="0" fontId="33" fillId="0" borderId="7" xfId="0" applyFont="1" applyBorder="1" applyAlignment="1">
      <alignment horizontal="lef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00"/>
  <sheetViews>
    <sheetView tabSelected="1" workbookViewId="0">
      <selection activeCell="H312" sqref="H312"/>
    </sheetView>
  </sheetViews>
  <sheetFormatPr defaultColWidth="12.5703125" defaultRowHeight="15" customHeight="1" x14ac:dyDescent="0.2"/>
  <cols>
    <col min="1" max="1" width="52.42578125" customWidth="1"/>
    <col min="2" max="2" width="44.28515625" customWidth="1"/>
    <col min="3" max="3" width="42.7109375" customWidth="1"/>
    <col min="4" max="4" width="31.7109375" customWidth="1"/>
    <col min="5" max="5" width="44" customWidth="1"/>
    <col min="6" max="6" width="19.85546875" customWidth="1"/>
    <col min="7" max="7" width="19.42578125" customWidth="1"/>
    <col min="8" max="11" width="11" customWidth="1"/>
    <col min="12" max="12" width="29.85546875" customWidth="1"/>
    <col min="13" max="13" width="25" customWidth="1"/>
    <col min="14" max="17" width="11" customWidth="1"/>
    <col min="18" max="18" width="21.85546875" customWidth="1"/>
    <col min="19" max="19" width="16.28515625" customWidth="1"/>
    <col min="20" max="20" width="21.140625" customWidth="1"/>
    <col min="21" max="21" width="17.85546875" customWidth="1"/>
    <col min="22" max="22" width="27.140625" customWidth="1"/>
    <col min="23" max="23" width="23.85546875" customWidth="1"/>
    <col min="24" max="24" width="28.28515625" customWidth="1"/>
    <col min="25" max="26" width="11" customWidth="1"/>
  </cols>
  <sheetData>
    <row r="1" spans="1:24" ht="15.75" customHeight="1" x14ac:dyDescent="0.2">
      <c r="A1" s="68" t="s">
        <v>0</v>
      </c>
      <c r="B1" s="68" t="s">
        <v>824</v>
      </c>
      <c r="C1" s="68" t="s">
        <v>826</v>
      </c>
      <c r="D1" s="69" t="s">
        <v>823</v>
      </c>
      <c r="E1" s="68" t="s">
        <v>1</v>
      </c>
      <c r="F1" s="68" t="s">
        <v>2</v>
      </c>
      <c r="G1" s="68" t="s">
        <v>819</v>
      </c>
      <c r="R1" s="70"/>
      <c r="S1" s="70"/>
      <c r="T1" s="70"/>
      <c r="U1" s="71"/>
      <c r="V1" s="70"/>
      <c r="W1" s="70"/>
      <c r="X1" s="70"/>
    </row>
    <row r="2" spans="1:24" ht="15.75" customHeight="1" x14ac:dyDescent="0.2">
      <c r="A2" s="1" t="s">
        <v>125</v>
      </c>
      <c r="B2" s="1" t="s">
        <v>126</v>
      </c>
      <c r="C2" s="1" t="s">
        <v>126</v>
      </c>
      <c r="D2" s="2" t="s">
        <v>127</v>
      </c>
      <c r="E2" s="1">
        <v>1</v>
      </c>
      <c r="F2" s="1" t="s">
        <v>15</v>
      </c>
      <c r="G2" s="1" t="s">
        <v>804</v>
      </c>
      <c r="R2" s="1"/>
      <c r="S2" s="1"/>
      <c r="T2" s="1"/>
      <c r="U2" s="2"/>
      <c r="V2" s="1"/>
      <c r="W2" s="1"/>
      <c r="X2" s="1"/>
    </row>
    <row r="3" spans="1:24" ht="15.75" customHeight="1" x14ac:dyDescent="0.2">
      <c r="A3" s="1" t="s">
        <v>128</v>
      </c>
      <c r="B3" s="1" t="s">
        <v>129</v>
      </c>
      <c r="C3" s="1" t="s">
        <v>130</v>
      </c>
      <c r="D3" s="2" t="s">
        <v>129</v>
      </c>
      <c r="E3" s="1" t="s">
        <v>15</v>
      </c>
      <c r="F3" s="1" t="s">
        <v>15</v>
      </c>
      <c r="G3" s="1" t="s">
        <v>803</v>
      </c>
      <c r="R3" s="1"/>
      <c r="S3" s="1"/>
      <c r="T3" s="1"/>
      <c r="U3" s="2"/>
      <c r="V3" s="1"/>
      <c r="W3" s="1"/>
      <c r="X3" s="1"/>
    </row>
    <row r="4" spans="1:24" ht="15.75" customHeight="1" x14ac:dyDescent="0.2">
      <c r="A4" s="1" t="s">
        <v>131</v>
      </c>
      <c r="B4" s="1" t="s">
        <v>132</v>
      </c>
      <c r="C4" s="1" t="s">
        <v>132</v>
      </c>
      <c r="D4" s="2" t="s">
        <v>132</v>
      </c>
      <c r="E4" s="1">
        <v>1</v>
      </c>
      <c r="F4" s="1">
        <v>1</v>
      </c>
      <c r="G4" s="1" t="s">
        <v>804</v>
      </c>
      <c r="R4" s="1"/>
      <c r="S4" s="1"/>
      <c r="T4" s="1"/>
      <c r="U4" s="2"/>
      <c r="V4" s="1"/>
      <c r="W4" s="1"/>
      <c r="X4" s="1"/>
    </row>
    <row r="5" spans="1:24" ht="15.75" customHeight="1" x14ac:dyDescent="0.2">
      <c r="A5" s="1" t="s">
        <v>133</v>
      </c>
      <c r="B5" s="1" t="s">
        <v>134</v>
      </c>
      <c r="C5" s="1" t="s">
        <v>134</v>
      </c>
      <c r="D5" s="2" t="s">
        <v>134</v>
      </c>
      <c r="E5" s="1">
        <v>1</v>
      </c>
      <c r="F5" s="1">
        <v>1</v>
      </c>
      <c r="G5" s="1" t="s">
        <v>804</v>
      </c>
      <c r="R5" s="1"/>
      <c r="S5" s="1"/>
      <c r="T5" s="1"/>
      <c r="U5" s="2"/>
      <c r="V5" s="1"/>
      <c r="W5" s="1"/>
      <c r="X5" s="1"/>
    </row>
    <row r="6" spans="1:24" ht="15.75" customHeight="1" x14ac:dyDescent="0.2">
      <c r="A6" s="1" t="s">
        <v>135</v>
      </c>
      <c r="B6" s="1" t="s">
        <v>136</v>
      </c>
      <c r="C6" s="1" t="s">
        <v>136</v>
      </c>
      <c r="D6" s="2" t="s">
        <v>136</v>
      </c>
      <c r="E6" s="1">
        <v>1</v>
      </c>
      <c r="F6" s="1">
        <v>1</v>
      </c>
      <c r="G6" s="1" t="s">
        <v>804</v>
      </c>
      <c r="R6" s="1"/>
      <c r="S6" s="1"/>
      <c r="T6" s="1"/>
      <c r="U6" s="2"/>
      <c r="V6" s="1"/>
      <c r="W6" s="1"/>
      <c r="X6" s="1"/>
    </row>
    <row r="7" spans="1:24" ht="15.75" customHeight="1" x14ac:dyDescent="0.2">
      <c r="A7" s="1" t="s">
        <v>137</v>
      </c>
      <c r="B7" s="1" t="s">
        <v>138</v>
      </c>
      <c r="C7" s="1" t="s">
        <v>138</v>
      </c>
      <c r="D7" s="2" t="s">
        <v>139</v>
      </c>
      <c r="E7" s="1">
        <v>1</v>
      </c>
      <c r="F7" s="1">
        <v>1</v>
      </c>
      <c r="G7" s="1" t="s">
        <v>804</v>
      </c>
      <c r="R7" s="1"/>
      <c r="S7" s="1"/>
      <c r="T7" s="1"/>
      <c r="U7" s="2"/>
      <c r="V7" s="1"/>
      <c r="W7" s="1"/>
      <c r="X7" s="1"/>
    </row>
    <row r="8" spans="1:24" ht="15.75" customHeight="1" x14ac:dyDescent="0.2">
      <c r="A8" s="1" t="s">
        <v>140</v>
      </c>
      <c r="B8" s="1" t="s">
        <v>141</v>
      </c>
      <c r="C8" s="1" t="s">
        <v>142</v>
      </c>
      <c r="D8" s="2" t="s">
        <v>141</v>
      </c>
      <c r="E8" s="1" t="s">
        <v>15</v>
      </c>
      <c r="F8" s="1" t="s">
        <v>15</v>
      </c>
      <c r="G8" s="1" t="s">
        <v>803</v>
      </c>
      <c r="R8" s="1"/>
      <c r="S8" s="1"/>
      <c r="T8" s="1"/>
      <c r="U8" s="2"/>
      <c r="V8" s="1"/>
      <c r="W8" s="1"/>
      <c r="X8" s="1"/>
    </row>
    <row r="9" spans="1:24" ht="15.75" customHeight="1" x14ac:dyDescent="0.2">
      <c r="A9" s="1" t="s">
        <v>143</v>
      </c>
      <c r="B9" s="1" t="s">
        <v>144</v>
      </c>
      <c r="C9" s="1" t="s">
        <v>144</v>
      </c>
      <c r="D9" s="2" t="s">
        <v>145</v>
      </c>
      <c r="E9" s="1" t="s">
        <v>15</v>
      </c>
      <c r="F9" s="1" t="s">
        <v>23</v>
      </c>
      <c r="G9" s="1" t="s">
        <v>804</v>
      </c>
      <c r="R9" s="1"/>
      <c r="S9" s="1"/>
      <c r="T9" s="1"/>
      <c r="U9" s="2"/>
      <c r="V9" s="1"/>
      <c r="W9" s="1"/>
      <c r="X9" s="1"/>
    </row>
    <row r="10" spans="1:24" ht="15.75" customHeight="1" x14ac:dyDescent="0.2">
      <c r="A10" s="1" t="s">
        <v>146</v>
      </c>
      <c r="B10" s="1" t="s">
        <v>147</v>
      </c>
      <c r="C10" s="1" t="s">
        <v>148</v>
      </c>
      <c r="D10" s="2" t="s">
        <v>149</v>
      </c>
      <c r="E10" s="1">
        <v>1</v>
      </c>
      <c r="F10" s="1" t="s">
        <v>15</v>
      </c>
      <c r="G10" s="1" t="s">
        <v>803</v>
      </c>
      <c r="R10" s="1"/>
      <c r="S10" s="1"/>
      <c r="T10" s="1"/>
      <c r="U10" s="2"/>
      <c r="V10" s="1"/>
      <c r="W10" s="1"/>
      <c r="X10" s="1"/>
    </row>
    <row r="11" spans="1:24" ht="15.75" customHeight="1" x14ac:dyDescent="0.2">
      <c r="A11" s="1" t="s">
        <v>150</v>
      </c>
      <c r="B11" s="1" t="s">
        <v>151</v>
      </c>
      <c r="C11" s="1" t="s">
        <v>151</v>
      </c>
      <c r="D11" s="2" t="s">
        <v>151</v>
      </c>
      <c r="E11" s="1">
        <v>1</v>
      </c>
      <c r="F11" s="1">
        <v>1</v>
      </c>
      <c r="G11" s="1" t="s">
        <v>804</v>
      </c>
      <c r="R11" s="1"/>
      <c r="S11" s="1"/>
      <c r="T11" s="1"/>
      <c r="U11" s="2"/>
      <c r="V11" s="1"/>
      <c r="W11" s="1"/>
      <c r="X11" s="1"/>
    </row>
    <row r="12" spans="1:24" ht="15.75" customHeight="1" x14ac:dyDescent="0.2">
      <c r="A12" s="1" t="s">
        <v>152</v>
      </c>
      <c r="B12" s="1" t="s">
        <v>153</v>
      </c>
      <c r="C12" s="1" t="s">
        <v>153</v>
      </c>
      <c r="D12" s="2" t="s">
        <v>153</v>
      </c>
      <c r="E12" s="1">
        <v>1</v>
      </c>
      <c r="F12" s="1">
        <v>1</v>
      </c>
      <c r="G12" s="1" t="s">
        <v>804</v>
      </c>
      <c r="R12" s="1"/>
      <c r="S12" s="1"/>
      <c r="T12" s="1"/>
      <c r="U12" s="2"/>
      <c r="V12" s="1"/>
      <c r="W12" s="1"/>
      <c r="X12" s="1"/>
    </row>
    <row r="13" spans="1:24" ht="15.75" customHeight="1" thickBot="1" x14ac:dyDescent="0.3">
      <c r="A13" s="1" t="s">
        <v>154</v>
      </c>
      <c r="B13" s="1" t="s">
        <v>155</v>
      </c>
      <c r="C13" s="1" t="s">
        <v>156</v>
      </c>
      <c r="D13" s="2" t="s">
        <v>157</v>
      </c>
      <c r="E13" s="1">
        <v>1</v>
      </c>
      <c r="F13" s="1">
        <v>1</v>
      </c>
      <c r="G13" s="1" t="s">
        <v>803</v>
      </c>
      <c r="L13" s="79" t="s">
        <v>800</v>
      </c>
      <c r="M13" s="79" t="s">
        <v>801</v>
      </c>
      <c r="R13" s="1"/>
      <c r="S13" s="1"/>
      <c r="T13" s="1"/>
      <c r="U13" s="2"/>
      <c r="V13" s="1"/>
      <c r="W13" s="1"/>
      <c r="X13" s="1"/>
    </row>
    <row r="14" spans="1:24" ht="15.75" customHeight="1" thickBot="1" x14ac:dyDescent="0.3">
      <c r="A14" s="1" t="s">
        <v>158</v>
      </c>
      <c r="B14" s="1" t="s">
        <v>159</v>
      </c>
      <c r="C14" s="1" t="s">
        <v>160</v>
      </c>
      <c r="D14" s="2" t="s">
        <v>161</v>
      </c>
      <c r="E14" s="1">
        <v>1</v>
      </c>
      <c r="F14" s="1" t="s">
        <v>162</v>
      </c>
      <c r="G14" s="1" t="s">
        <v>803</v>
      </c>
      <c r="L14" s="80" t="s">
        <v>802</v>
      </c>
      <c r="M14" s="81">
        <v>7</v>
      </c>
      <c r="R14" s="1"/>
      <c r="S14" s="1"/>
      <c r="T14" s="1"/>
      <c r="U14" s="2"/>
      <c r="V14" s="1"/>
      <c r="W14" s="1"/>
      <c r="X14" s="1"/>
    </row>
    <row r="15" spans="1:24" ht="15.75" customHeight="1" thickBot="1" x14ac:dyDescent="0.3">
      <c r="A15" s="1" t="s">
        <v>163</v>
      </c>
      <c r="B15" s="1" t="s">
        <v>164</v>
      </c>
      <c r="C15" s="1" t="s">
        <v>165</v>
      </c>
      <c r="D15" s="2" t="s">
        <v>166</v>
      </c>
      <c r="E15" s="1">
        <v>1</v>
      </c>
      <c r="F15" s="1" t="s">
        <v>162</v>
      </c>
      <c r="G15" s="1" t="s">
        <v>803</v>
      </c>
      <c r="L15" s="80" t="s">
        <v>803</v>
      </c>
      <c r="M15" s="81">
        <v>47</v>
      </c>
      <c r="R15" s="1"/>
      <c r="S15" s="1"/>
      <c r="T15" s="1"/>
      <c r="U15" s="2"/>
      <c r="V15" s="1"/>
      <c r="W15" s="1"/>
      <c r="X15" s="1"/>
    </row>
    <row r="16" spans="1:24" ht="15.75" customHeight="1" thickBot="1" x14ac:dyDescent="0.3">
      <c r="A16" s="1" t="s">
        <v>167</v>
      </c>
      <c r="B16" s="1" t="s">
        <v>168</v>
      </c>
      <c r="C16" s="1" t="s">
        <v>168</v>
      </c>
      <c r="D16" s="2" t="s">
        <v>168</v>
      </c>
      <c r="E16" s="1">
        <v>1</v>
      </c>
      <c r="F16" s="1">
        <v>1</v>
      </c>
      <c r="G16" s="1" t="s">
        <v>804</v>
      </c>
      <c r="L16" s="80" t="s">
        <v>807</v>
      </c>
      <c r="M16" s="81">
        <v>3</v>
      </c>
      <c r="R16" s="1"/>
      <c r="S16" s="1"/>
      <c r="T16" s="1"/>
      <c r="U16" s="2"/>
      <c r="V16" s="1"/>
      <c r="W16" s="1"/>
      <c r="X16" s="1"/>
    </row>
    <row r="17" spans="1:24" ht="15.75" customHeight="1" thickBot="1" x14ac:dyDescent="0.3">
      <c r="A17" s="1" t="s">
        <v>169</v>
      </c>
      <c r="B17" s="1" t="s">
        <v>170</v>
      </c>
      <c r="C17" s="1" t="s">
        <v>171</v>
      </c>
      <c r="D17" s="2" t="s">
        <v>172</v>
      </c>
      <c r="E17" s="1" t="s">
        <v>15</v>
      </c>
      <c r="F17" s="1" t="s">
        <v>23</v>
      </c>
      <c r="G17" s="1" t="s">
        <v>803</v>
      </c>
      <c r="L17" s="80" t="s">
        <v>808</v>
      </c>
      <c r="M17" s="81">
        <v>1</v>
      </c>
      <c r="R17" s="1"/>
      <c r="S17" s="1"/>
      <c r="T17" s="1"/>
      <c r="U17" s="2"/>
      <c r="V17" s="1"/>
      <c r="W17" s="1"/>
      <c r="X17" s="1"/>
    </row>
    <row r="18" spans="1:24" ht="15.75" customHeight="1" thickBot="1" x14ac:dyDescent="0.3">
      <c r="A18" s="1" t="s">
        <v>173</v>
      </c>
      <c r="B18" s="1" t="s">
        <v>174</v>
      </c>
      <c r="C18" s="1" t="s">
        <v>174</v>
      </c>
      <c r="D18" s="2" t="s">
        <v>174</v>
      </c>
      <c r="E18" s="1">
        <v>1</v>
      </c>
      <c r="F18" s="1">
        <v>1</v>
      </c>
      <c r="G18" s="1" t="s">
        <v>804</v>
      </c>
      <c r="L18" s="80" t="s">
        <v>810</v>
      </c>
      <c r="M18" s="81">
        <v>2</v>
      </c>
      <c r="R18" s="1"/>
      <c r="S18" s="1"/>
      <c r="T18" s="1"/>
      <c r="U18" s="2"/>
      <c r="V18" s="1"/>
      <c r="W18" s="1"/>
      <c r="X18" s="1"/>
    </row>
    <row r="19" spans="1:24" ht="15.75" customHeight="1" thickBot="1" x14ac:dyDescent="0.3">
      <c r="A19" s="1" t="s">
        <v>175</v>
      </c>
      <c r="B19" s="1" t="s">
        <v>176</v>
      </c>
      <c r="C19" s="1" t="s">
        <v>176</v>
      </c>
      <c r="D19" s="2" t="s">
        <v>177</v>
      </c>
      <c r="E19" s="1">
        <v>1</v>
      </c>
      <c r="F19" s="1" t="s">
        <v>15</v>
      </c>
      <c r="G19" s="1" t="s">
        <v>804</v>
      </c>
      <c r="L19" s="80" t="s">
        <v>811</v>
      </c>
      <c r="M19" s="81">
        <v>253</v>
      </c>
      <c r="R19" s="1"/>
      <c r="S19" s="1"/>
      <c r="T19" s="1"/>
      <c r="U19" s="2"/>
      <c r="V19" s="1"/>
      <c r="W19" s="1"/>
      <c r="X19" s="1"/>
    </row>
    <row r="20" spans="1:24" ht="15.75" customHeight="1" x14ac:dyDescent="0.25">
      <c r="A20" s="1" t="s">
        <v>178</v>
      </c>
      <c r="B20" s="1" t="s">
        <v>179</v>
      </c>
      <c r="C20" s="1" t="s">
        <v>179</v>
      </c>
      <c r="D20" s="2" t="s">
        <v>180</v>
      </c>
      <c r="E20" s="1">
        <v>1</v>
      </c>
      <c r="F20" s="1">
        <v>1</v>
      </c>
      <c r="G20" s="1" t="s">
        <v>804</v>
      </c>
      <c r="L20" s="82" t="s">
        <v>806</v>
      </c>
      <c r="M20" s="83">
        <v>2</v>
      </c>
      <c r="R20" s="1"/>
      <c r="S20" s="1"/>
      <c r="T20" s="1"/>
      <c r="U20" s="2"/>
      <c r="V20" s="1"/>
      <c r="W20" s="1"/>
      <c r="X20" s="1"/>
    </row>
    <row r="21" spans="1:24" ht="15.75" customHeight="1" x14ac:dyDescent="0.25">
      <c r="A21" s="1" t="s">
        <v>181</v>
      </c>
      <c r="B21" s="1" t="s">
        <v>182</v>
      </c>
      <c r="C21" s="1" t="s">
        <v>182</v>
      </c>
      <c r="D21" s="2" t="s">
        <v>182</v>
      </c>
      <c r="E21" s="1">
        <v>1</v>
      </c>
      <c r="F21" s="1">
        <v>1</v>
      </c>
      <c r="G21" s="1" t="s">
        <v>804</v>
      </c>
      <c r="L21" s="84" t="s">
        <v>814</v>
      </c>
      <c r="M21" s="85">
        <v>311</v>
      </c>
      <c r="R21" s="1"/>
      <c r="S21" s="1"/>
      <c r="T21" s="1"/>
      <c r="U21" s="2"/>
      <c r="V21" s="1"/>
      <c r="W21" s="1"/>
      <c r="X21" s="1"/>
    </row>
    <row r="22" spans="1:24" ht="15.75" customHeight="1" x14ac:dyDescent="0.2">
      <c r="A22" s="1" t="s">
        <v>183</v>
      </c>
      <c r="B22" s="1" t="s">
        <v>184</v>
      </c>
      <c r="C22" s="1" t="s">
        <v>184</v>
      </c>
      <c r="D22" s="2" t="s">
        <v>185</v>
      </c>
      <c r="E22" s="1">
        <v>1</v>
      </c>
      <c r="F22" s="1">
        <v>1</v>
      </c>
      <c r="G22" s="1" t="s">
        <v>804</v>
      </c>
      <c r="R22" s="1"/>
      <c r="S22" s="1"/>
      <c r="T22" s="1"/>
      <c r="U22" s="2"/>
      <c r="V22" s="1"/>
      <c r="W22" s="1"/>
      <c r="X22" s="1"/>
    </row>
    <row r="23" spans="1:24" ht="15.75" customHeight="1" x14ac:dyDescent="0.2">
      <c r="A23" s="1" t="s">
        <v>186</v>
      </c>
      <c r="B23" s="1" t="s">
        <v>187</v>
      </c>
      <c r="C23" s="1" t="s">
        <v>188</v>
      </c>
      <c r="D23" s="2" t="s">
        <v>189</v>
      </c>
      <c r="E23" s="1" t="s">
        <v>15</v>
      </c>
      <c r="F23" s="1" t="s">
        <v>15</v>
      </c>
      <c r="G23" s="1" t="s">
        <v>803</v>
      </c>
      <c r="R23" s="1"/>
      <c r="S23" s="1"/>
      <c r="T23" s="1"/>
      <c r="U23" s="2"/>
      <c r="V23" s="1"/>
      <c r="W23" s="1"/>
      <c r="X23" s="1"/>
    </row>
    <row r="24" spans="1:24" ht="15.75" customHeight="1" x14ac:dyDescent="0.2">
      <c r="A24" s="1" t="s">
        <v>190</v>
      </c>
      <c r="B24" s="1" t="s">
        <v>191</v>
      </c>
      <c r="C24" s="1" t="s">
        <v>191</v>
      </c>
      <c r="D24" s="2" t="s">
        <v>192</v>
      </c>
      <c r="E24" s="1">
        <v>1</v>
      </c>
      <c r="F24" s="1">
        <v>1</v>
      </c>
      <c r="G24" s="1" t="s">
        <v>804</v>
      </c>
      <c r="R24" s="1"/>
      <c r="S24" s="1"/>
      <c r="T24" s="1"/>
      <c r="U24" s="2"/>
      <c r="V24" s="1"/>
      <c r="W24" s="1"/>
      <c r="X24" s="1"/>
    </row>
    <row r="25" spans="1:24" ht="15.75" customHeight="1" x14ac:dyDescent="0.2">
      <c r="A25" s="1" t="s">
        <v>193</v>
      </c>
      <c r="B25" s="1" t="s">
        <v>194</v>
      </c>
      <c r="C25" s="1" t="s">
        <v>194</v>
      </c>
      <c r="D25" s="2" t="s">
        <v>195</v>
      </c>
      <c r="E25" s="1" t="s">
        <v>15</v>
      </c>
      <c r="F25" s="1">
        <v>1</v>
      </c>
      <c r="G25" s="1" t="s">
        <v>804</v>
      </c>
      <c r="R25" s="1"/>
      <c r="S25" s="1"/>
      <c r="T25" s="1"/>
      <c r="U25" s="2"/>
      <c r="V25" s="1"/>
      <c r="W25" s="1"/>
      <c r="X25" s="1"/>
    </row>
    <row r="26" spans="1:24" ht="15.75" customHeight="1" x14ac:dyDescent="0.2">
      <c r="A26" s="1" t="s">
        <v>196</v>
      </c>
      <c r="B26" s="1" t="s">
        <v>197</v>
      </c>
      <c r="C26" s="1" t="s">
        <v>197</v>
      </c>
      <c r="D26" s="2" t="s">
        <v>197</v>
      </c>
      <c r="E26" s="1">
        <v>1</v>
      </c>
      <c r="F26" s="1">
        <v>1</v>
      </c>
      <c r="G26" s="1" t="s">
        <v>804</v>
      </c>
      <c r="R26" s="1"/>
      <c r="S26" s="1"/>
      <c r="T26" s="1"/>
      <c r="U26" s="2"/>
      <c r="V26" s="1"/>
      <c r="W26" s="1"/>
      <c r="X26" s="1"/>
    </row>
    <row r="27" spans="1:24" ht="15.75" customHeight="1" x14ac:dyDescent="0.2">
      <c r="A27" s="1" t="s">
        <v>198</v>
      </c>
      <c r="B27" s="1" t="s">
        <v>199</v>
      </c>
      <c r="C27" s="1" t="s">
        <v>199</v>
      </c>
      <c r="D27" s="2" t="s">
        <v>199</v>
      </c>
      <c r="E27" s="1">
        <v>1</v>
      </c>
      <c r="F27" s="1">
        <v>1</v>
      </c>
      <c r="G27" s="1" t="s">
        <v>804</v>
      </c>
      <c r="R27" s="1"/>
      <c r="S27" s="1"/>
      <c r="T27" s="1"/>
      <c r="U27" s="2"/>
      <c r="V27" s="1"/>
      <c r="W27" s="1"/>
      <c r="X27" s="1"/>
    </row>
    <row r="28" spans="1:24" ht="15.75" customHeight="1" x14ac:dyDescent="0.2">
      <c r="A28" s="1" t="s">
        <v>200</v>
      </c>
      <c r="B28" s="1" t="s">
        <v>201</v>
      </c>
      <c r="C28" s="1" t="s">
        <v>202</v>
      </c>
      <c r="D28" s="2" t="s">
        <v>201</v>
      </c>
      <c r="E28" s="1" t="s">
        <v>15</v>
      </c>
      <c r="F28" s="1" t="s">
        <v>15</v>
      </c>
      <c r="G28" s="1" t="s">
        <v>803</v>
      </c>
      <c r="R28" s="1"/>
      <c r="S28" s="1"/>
      <c r="T28" s="1"/>
      <c r="U28" s="2"/>
      <c r="V28" s="1"/>
      <c r="W28" s="1"/>
      <c r="X28" s="1"/>
    </row>
    <row r="29" spans="1:24" ht="15.75" customHeight="1" x14ac:dyDescent="0.2">
      <c r="A29" s="1" t="s">
        <v>203</v>
      </c>
      <c r="B29" s="1" t="s">
        <v>204</v>
      </c>
      <c r="C29" s="1" t="s">
        <v>204</v>
      </c>
      <c r="D29" s="2" t="s">
        <v>205</v>
      </c>
      <c r="E29" s="1">
        <v>1</v>
      </c>
      <c r="F29" s="1">
        <v>1</v>
      </c>
      <c r="G29" s="1" t="s">
        <v>804</v>
      </c>
      <c r="R29" s="1"/>
      <c r="S29" s="1"/>
      <c r="T29" s="1"/>
      <c r="U29" s="2"/>
      <c r="V29" s="1"/>
      <c r="W29" s="1"/>
      <c r="X29" s="1"/>
    </row>
    <row r="30" spans="1:24" ht="15.75" customHeight="1" x14ac:dyDescent="0.2">
      <c r="A30" s="1" t="s">
        <v>206</v>
      </c>
      <c r="B30" s="1" t="s">
        <v>207</v>
      </c>
      <c r="C30" s="1" t="s">
        <v>207</v>
      </c>
      <c r="D30" s="2" t="s">
        <v>207</v>
      </c>
      <c r="E30" s="1">
        <v>1</v>
      </c>
      <c r="F30" s="1">
        <v>1</v>
      </c>
      <c r="G30" s="1" t="s">
        <v>804</v>
      </c>
      <c r="R30" s="1"/>
      <c r="S30" s="1"/>
      <c r="T30" s="1"/>
      <c r="U30" s="2"/>
      <c r="V30" s="1"/>
      <c r="W30" s="1"/>
      <c r="X30" s="1"/>
    </row>
    <row r="31" spans="1:24" ht="15.75" customHeight="1" x14ac:dyDescent="0.2">
      <c r="A31" s="1" t="s">
        <v>208</v>
      </c>
      <c r="B31" s="1" t="s">
        <v>209</v>
      </c>
      <c r="C31" s="1" t="s">
        <v>209</v>
      </c>
      <c r="D31" s="2" t="s">
        <v>209</v>
      </c>
      <c r="E31" s="1">
        <v>1</v>
      </c>
      <c r="F31" s="1">
        <v>1</v>
      </c>
      <c r="G31" s="1" t="s">
        <v>804</v>
      </c>
      <c r="R31" s="1"/>
      <c r="S31" s="1"/>
      <c r="T31" s="1"/>
      <c r="U31" s="2"/>
      <c r="V31" s="1"/>
      <c r="W31" s="1"/>
      <c r="X31" s="1"/>
    </row>
    <row r="32" spans="1:24" ht="15.75" customHeight="1" x14ac:dyDescent="0.2">
      <c r="A32" s="1" t="s">
        <v>210</v>
      </c>
      <c r="B32" s="1" t="s">
        <v>211</v>
      </c>
      <c r="C32" s="1" t="s">
        <v>211</v>
      </c>
      <c r="D32" s="2" t="s">
        <v>212</v>
      </c>
      <c r="E32" s="1">
        <v>1</v>
      </c>
      <c r="F32" s="1">
        <v>1</v>
      </c>
      <c r="G32" s="1" t="s">
        <v>804</v>
      </c>
      <c r="R32" s="1"/>
      <c r="S32" s="1"/>
      <c r="T32" s="1"/>
      <c r="U32" s="2"/>
      <c r="V32" s="1"/>
      <c r="W32" s="1"/>
      <c r="X32" s="1"/>
    </row>
    <row r="33" spans="1:24" ht="15.75" customHeight="1" x14ac:dyDescent="0.2">
      <c r="A33" s="1" t="s">
        <v>213</v>
      </c>
      <c r="B33" s="1" t="s">
        <v>214</v>
      </c>
      <c r="C33" s="1" t="s">
        <v>214</v>
      </c>
      <c r="D33" s="2" t="s">
        <v>214</v>
      </c>
      <c r="E33" s="1">
        <v>1</v>
      </c>
      <c r="F33" s="1">
        <v>1</v>
      </c>
      <c r="G33" s="1" t="s">
        <v>804</v>
      </c>
      <c r="R33" s="1"/>
      <c r="S33" s="1"/>
      <c r="T33" s="1"/>
      <c r="U33" s="2"/>
      <c r="V33" s="1"/>
      <c r="W33" s="1"/>
      <c r="X33" s="1"/>
    </row>
    <row r="34" spans="1:24" ht="15.75" customHeight="1" x14ac:dyDescent="0.2">
      <c r="A34" s="1" t="s">
        <v>215</v>
      </c>
      <c r="B34" s="1" t="s">
        <v>216</v>
      </c>
      <c r="C34" s="1" t="s">
        <v>216</v>
      </c>
      <c r="D34" s="2" t="s">
        <v>217</v>
      </c>
      <c r="E34" s="1">
        <v>1</v>
      </c>
      <c r="F34" s="1">
        <v>1</v>
      </c>
      <c r="G34" s="1" t="s">
        <v>804</v>
      </c>
      <c r="R34" s="1"/>
      <c r="S34" s="1"/>
      <c r="T34" s="1"/>
      <c r="U34" s="2"/>
      <c r="V34" s="1"/>
      <c r="W34" s="1"/>
      <c r="X34" s="1"/>
    </row>
    <row r="35" spans="1:24" ht="15.75" customHeight="1" x14ac:dyDescent="0.2">
      <c r="A35" s="1" t="s">
        <v>218</v>
      </c>
      <c r="B35" s="1" t="s">
        <v>219</v>
      </c>
      <c r="C35" s="1" t="s">
        <v>219</v>
      </c>
      <c r="D35" s="2" t="s">
        <v>220</v>
      </c>
      <c r="E35" s="1">
        <v>1</v>
      </c>
      <c r="F35" s="1">
        <v>1</v>
      </c>
      <c r="G35" s="1" t="s">
        <v>804</v>
      </c>
      <c r="R35" s="1"/>
      <c r="S35" s="1"/>
      <c r="T35" s="1"/>
      <c r="U35" s="2"/>
      <c r="V35" s="1"/>
      <c r="W35" s="1"/>
      <c r="X35" s="1"/>
    </row>
    <row r="36" spans="1:24" ht="15.75" customHeight="1" x14ac:dyDescent="0.2">
      <c r="A36" s="1" t="s">
        <v>221</v>
      </c>
      <c r="B36" s="1" t="s">
        <v>222</v>
      </c>
      <c r="C36" s="1" t="s">
        <v>222</v>
      </c>
      <c r="D36" s="2" t="s">
        <v>223</v>
      </c>
      <c r="E36" s="1">
        <v>1</v>
      </c>
      <c r="F36" s="1">
        <v>1</v>
      </c>
      <c r="G36" s="1" t="s">
        <v>804</v>
      </c>
      <c r="R36" s="1"/>
      <c r="S36" s="1"/>
      <c r="T36" s="1"/>
      <c r="U36" s="2"/>
      <c r="V36" s="1"/>
      <c r="W36" s="1"/>
      <c r="X36" s="1"/>
    </row>
    <row r="37" spans="1:24" ht="15.75" customHeight="1" x14ac:dyDescent="0.2">
      <c r="A37" s="1" t="s">
        <v>224</v>
      </c>
      <c r="B37" s="1" t="s">
        <v>225</v>
      </c>
      <c r="C37" s="1" t="s">
        <v>226</v>
      </c>
      <c r="D37" s="2" t="s">
        <v>225</v>
      </c>
      <c r="E37" s="1" t="s">
        <v>15</v>
      </c>
      <c r="F37" s="1" t="s">
        <v>15</v>
      </c>
      <c r="G37" s="1" t="s">
        <v>803</v>
      </c>
      <c r="R37" s="1"/>
      <c r="S37" s="1"/>
      <c r="T37" s="1"/>
      <c r="U37" s="2"/>
      <c r="V37" s="1"/>
      <c r="W37" s="1"/>
      <c r="X37" s="1"/>
    </row>
    <row r="38" spans="1:24" ht="15.75" customHeight="1" x14ac:dyDescent="0.2">
      <c r="A38" s="1" t="s">
        <v>227</v>
      </c>
      <c r="B38" s="1" t="s">
        <v>228</v>
      </c>
      <c r="C38" s="1" t="s">
        <v>228</v>
      </c>
      <c r="D38" s="2" t="s">
        <v>229</v>
      </c>
      <c r="E38" s="1">
        <v>1</v>
      </c>
      <c r="F38" s="1">
        <v>1</v>
      </c>
      <c r="G38" s="1" t="s">
        <v>804</v>
      </c>
      <c r="R38" s="1"/>
      <c r="S38" s="1"/>
      <c r="T38" s="1"/>
      <c r="U38" s="2"/>
      <c r="V38" s="1"/>
      <c r="W38" s="1"/>
      <c r="X38" s="1"/>
    </row>
    <row r="39" spans="1:24" ht="15.75" customHeight="1" x14ac:dyDescent="0.2">
      <c r="A39" s="1" t="s">
        <v>230</v>
      </c>
      <c r="B39" s="1" t="s">
        <v>231</v>
      </c>
      <c r="C39" s="1" t="s">
        <v>231</v>
      </c>
      <c r="D39" s="2" t="s">
        <v>231</v>
      </c>
      <c r="E39" s="1">
        <v>1</v>
      </c>
      <c r="F39" s="1">
        <v>1</v>
      </c>
      <c r="G39" s="1" t="s">
        <v>804</v>
      </c>
      <c r="R39" s="1"/>
      <c r="S39" s="1"/>
      <c r="T39" s="1"/>
      <c r="U39" s="2"/>
      <c r="V39" s="1"/>
      <c r="W39" s="1"/>
      <c r="X39" s="1"/>
    </row>
    <row r="40" spans="1:24" ht="15.75" customHeight="1" x14ac:dyDescent="0.2">
      <c r="A40" s="1" t="s">
        <v>232</v>
      </c>
      <c r="B40" s="1" t="s">
        <v>233</v>
      </c>
      <c r="C40" s="1" t="s">
        <v>233</v>
      </c>
      <c r="D40" s="2" t="s">
        <v>234</v>
      </c>
      <c r="E40" s="1">
        <v>1</v>
      </c>
      <c r="F40" s="1">
        <v>1</v>
      </c>
      <c r="G40" s="1" t="s">
        <v>804</v>
      </c>
      <c r="R40" s="1"/>
      <c r="S40" s="1"/>
      <c r="T40" s="1"/>
      <c r="U40" s="2"/>
      <c r="V40" s="1"/>
      <c r="W40" s="1"/>
      <c r="X40" s="1"/>
    </row>
    <row r="41" spans="1:24" ht="15.75" customHeight="1" x14ac:dyDescent="0.2">
      <c r="A41" s="1" t="s">
        <v>235</v>
      </c>
      <c r="B41" s="1" t="s">
        <v>236</v>
      </c>
      <c r="C41" s="1" t="s">
        <v>236</v>
      </c>
      <c r="D41" s="2" t="s">
        <v>236</v>
      </c>
      <c r="E41" s="1">
        <v>1</v>
      </c>
      <c r="F41" s="1">
        <v>1</v>
      </c>
      <c r="G41" s="1" t="s">
        <v>804</v>
      </c>
      <c r="R41" s="1"/>
      <c r="S41" s="1"/>
      <c r="T41" s="1"/>
      <c r="U41" s="2"/>
      <c r="V41" s="1"/>
      <c r="W41" s="1"/>
      <c r="X41" s="1"/>
    </row>
    <row r="42" spans="1:24" ht="15.75" customHeight="1" x14ac:dyDescent="0.2">
      <c r="A42" s="1" t="s">
        <v>237</v>
      </c>
      <c r="B42" s="1" t="s">
        <v>238</v>
      </c>
      <c r="C42" s="1" t="s">
        <v>238</v>
      </c>
      <c r="D42" s="2" t="s">
        <v>238</v>
      </c>
      <c r="E42" s="1">
        <v>1</v>
      </c>
      <c r="F42" s="1">
        <v>1</v>
      </c>
      <c r="G42" s="1" t="s">
        <v>804</v>
      </c>
      <c r="R42" s="1"/>
      <c r="S42" s="1"/>
      <c r="T42" s="1"/>
      <c r="U42" s="2"/>
      <c r="V42" s="1"/>
      <c r="W42" s="1"/>
      <c r="X42" s="1"/>
    </row>
    <row r="43" spans="1:24" ht="15.75" customHeight="1" x14ac:dyDescent="0.2">
      <c r="A43" s="1" t="s">
        <v>239</v>
      </c>
      <c r="B43" s="1" t="s">
        <v>240</v>
      </c>
      <c r="C43" s="1" t="s">
        <v>240</v>
      </c>
      <c r="D43" s="2" t="s">
        <v>241</v>
      </c>
      <c r="E43" s="1">
        <v>1</v>
      </c>
      <c r="F43" s="1">
        <v>1</v>
      </c>
      <c r="G43" s="1" t="s">
        <v>804</v>
      </c>
      <c r="R43" s="1"/>
      <c r="S43" s="1"/>
      <c r="T43" s="1"/>
      <c r="U43" s="2"/>
      <c r="V43" s="1"/>
      <c r="W43" s="1"/>
      <c r="X43" s="1"/>
    </row>
    <row r="44" spans="1:24" ht="15.75" customHeight="1" x14ac:dyDescent="0.2">
      <c r="A44" s="1" t="s">
        <v>242</v>
      </c>
      <c r="B44" s="1" t="s">
        <v>243</v>
      </c>
      <c r="C44" s="1" t="s">
        <v>243</v>
      </c>
      <c r="D44" s="2" t="s">
        <v>244</v>
      </c>
      <c r="E44" s="1" t="s">
        <v>15</v>
      </c>
      <c r="F44" s="1" t="s">
        <v>15</v>
      </c>
      <c r="G44" s="1" t="s">
        <v>804</v>
      </c>
      <c r="R44" s="1"/>
      <c r="S44" s="1"/>
      <c r="T44" s="1"/>
      <c r="U44" s="2"/>
      <c r="V44" s="1"/>
      <c r="W44" s="1"/>
      <c r="X44" s="1"/>
    </row>
    <row r="45" spans="1:24" ht="15.75" customHeight="1" x14ac:dyDescent="0.2">
      <c r="A45" s="1" t="s">
        <v>245</v>
      </c>
      <c r="B45" s="1" t="s">
        <v>246</v>
      </c>
      <c r="C45" s="1" t="s">
        <v>246</v>
      </c>
      <c r="D45" s="2" t="s">
        <v>247</v>
      </c>
      <c r="E45" s="1" t="s">
        <v>15</v>
      </c>
      <c r="F45" s="1" t="s">
        <v>15</v>
      </c>
      <c r="G45" s="1" t="s">
        <v>804</v>
      </c>
      <c r="R45" s="1"/>
      <c r="S45" s="1"/>
      <c r="T45" s="1"/>
      <c r="U45" s="2"/>
      <c r="V45" s="1"/>
      <c r="W45" s="1"/>
      <c r="X45" s="1"/>
    </row>
    <row r="46" spans="1:24" ht="15.75" customHeight="1" x14ac:dyDescent="0.2">
      <c r="A46" s="1" t="s">
        <v>248</v>
      </c>
      <c r="B46" s="1" t="s">
        <v>249</v>
      </c>
      <c r="C46" s="1" t="s">
        <v>249</v>
      </c>
      <c r="D46" s="2" t="s">
        <v>249</v>
      </c>
      <c r="E46" s="1">
        <v>1</v>
      </c>
      <c r="F46" s="1">
        <v>1</v>
      </c>
      <c r="G46" s="1" t="s">
        <v>804</v>
      </c>
      <c r="R46" s="1"/>
      <c r="S46" s="1"/>
      <c r="T46" s="1"/>
      <c r="U46" s="2"/>
      <c r="V46" s="1"/>
      <c r="W46" s="1"/>
      <c r="X46" s="1"/>
    </row>
    <row r="47" spans="1:24" ht="15.75" customHeight="1" x14ac:dyDescent="0.2">
      <c r="A47" s="1" t="s">
        <v>250</v>
      </c>
      <c r="B47" s="1" t="s">
        <v>251</v>
      </c>
      <c r="C47" s="1" t="s">
        <v>251</v>
      </c>
      <c r="D47" s="2" t="s">
        <v>251</v>
      </c>
      <c r="E47" s="1">
        <v>1</v>
      </c>
      <c r="F47" s="1">
        <v>1</v>
      </c>
      <c r="G47" s="1" t="s">
        <v>804</v>
      </c>
      <c r="R47" s="1"/>
      <c r="S47" s="1"/>
      <c r="T47" s="1"/>
      <c r="U47" s="2"/>
      <c r="V47" s="1"/>
      <c r="W47" s="1"/>
      <c r="X47" s="1"/>
    </row>
    <row r="48" spans="1:24" ht="15.75" customHeight="1" x14ac:dyDescent="0.2">
      <c r="A48" s="1" t="s">
        <v>252</v>
      </c>
      <c r="B48" s="1" t="s">
        <v>253</v>
      </c>
      <c r="C48" s="1" t="s">
        <v>253</v>
      </c>
      <c r="D48" s="2" t="s">
        <v>253</v>
      </c>
      <c r="E48" s="1">
        <v>1</v>
      </c>
      <c r="F48" s="1">
        <v>1</v>
      </c>
      <c r="G48" s="1" t="s">
        <v>804</v>
      </c>
      <c r="R48" s="1"/>
      <c r="S48" s="1"/>
      <c r="T48" s="1"/>
      <c r="U48" s="2"/>
      <c r="V48" s="1"/>
      <c r="W48" s="1"/>
      <c r="X48" s="1"/>
    </row>
    <row r="49" spans="1:24" ht="15.75" customHeight="1" x14ac:dyDescent="0.2">
      <c r="A49" s="1" t="s">
        <v>254</v>
      </c>
      <c r="B49" s="1" t="s">
        <v>255</v>
      </c>
      <c r="C49" s="1" t="s">
        <v>255</v>
      </c>
      <c r="D49" s="2" t="s">
        <v>255</v>
      </c>
      <c r="E49" s="1">
        <v>1</v>
      </c>
      <c r="F49" s="1">
        <v>1</v>
      </c>
      <c r="G49" s="1" t="s">
        <v>804</v>
      </c>
      <c r="R49" s="1"/>
      <c r="S49" s="1"/>
      <c r="T49" s="1"/>
      <c r="U49" s="2"/>
      <c r="V49" s="1"/>
      <c r="W49" s="1"/>
      <c r="X49" s="1"/>
    </row>
    <row r="50" spans="1:24" ht="15.75" customHeight="1" x14ac:dyDescent="0.2">
      <c r="A50" s="1" t="s">
        <v>256</v>
      </c>
      <c r="B50" s="1" t="s">
        <v>257</v>
      </c>
      <c r="C50" s="1" t="s">
        <v>257</v>
      </c>
      <c r="D50" s="2" t="s">
        <v>258</v>
      </c>
      <c r="E50" s="1" t="s">
        <v>15</v>
      </c>
      <c r="F50" s="1">
        <v>1</v>
      </c>
      <c r="G50" s="1" t="s">
        <v>804</v>
      </c>
      <c r="R50" s="1"/>
      <c r="S50" s="1"/>
      <c r="T50" s="1"/>
      <c r="U50" s="2"/>
      <c r="V50" s="1"/>
      <c r="W50" s="1"/>
      <c r="X50" s="1"/>
    </row>
    <row r="51" spans="1:24" ht="15.75" customHeight="1" x14ac:dyDescent="0.2">
      <c r="A51" s="1" t="s">
        <v>529</v>
      </c>
      <c r="B51" s="1" t="s">
        <v>530</v>
      </c>
      <c r="C51" s="1" t="s">
        <v>530</v>
      </c>
      <c r="D51" s="2" t="s">
        <v>531</v>
      </c>
      <c r="E51" s="1">
        <v>1</v>
      </c>
      <c r="F51" s="1">
        <v>1</v>
      </c>
      <c r="G51" s="1" t="s">
        <v>804</v>
      </c>
      <c r="R51" s="1"/>
      <c r="S51" s="1"/>
      <c r="T51" s="1"/>
      <c r="U51" s="2"/>
      <c r="V51" s="1"/>
      <c r="W51" s="1"/>
      <c r="X51" s="1"/>
    </row>
    <row r="52" spans="1:24" ht="15.75" customHeight="1" x14ac:dyDescent="0.2">
      <c r="A52" s="1" t="s">
        <v>532</v>
      </c>
      <c r="B52" s="1" t="s">
        <v>533</v>
      </c>
      <c r="C52" s="1" t="s">
        <v>533</v>
      </c>
      <c r="D52" s="2" t="s">
        <v>534</v>
      </c>
      <c r="E52" s="1">
        <v>1</v>
      </c>
      <c r="F52" s="1" t="s">
        <v>23</v>
      </c>
      <c r="G52" s="1" t="s">
        <v>804</v>
      </c>
      <c r="R52" s="1"/>
      <c r="S52" s="1"/>
      <c r="T52" s="1"/>
      <c r="U52" s="2"/>
      <c r="V52" s="1"/>
      <c r="W52" s="1"/>
      <c r="X52" s="1"/>
    </row>
    <row r="53" spans="1:24" ht="15.75" customHeight="1" x14ac:dyDescent="0.2">
      <c r="A53" s="1" t="s">
        <v>535</v>
      </c>
      <c r="B53" s="1" t="s">
        <v>536</v>
      </c>
      <c r="C53" s="1" t="s">
        <v>536</v>
      </c>
      <c r="D53" s="2" t="s">
        <v>537</v>
      </c>
      <c r="E53" s="1">
        <v>1</v>
      </c>
      <c r="F53" s="1">
        <v>1</v>
      </c>
      <c r="G53" s="1" t="s">
        <v>804</v>
      </c>
      <c r="R53" s="1"/>
      <c r="S53" s="1"/>
      <c r="T53" s="1"/>
      <c r="U53" s="2"/>
      <c r="V53" s="1"/>
      <c r="W53" s="1"/>
      <c r="X53" s="1"/>
    </row>
    <row r="54" spans="1:24" ht="15.75" customHeight="1" x14ac:dyDescent="0.2">
      <c r="A54" s="1" t="s">
        <v>538</v>
      </c>
      <c r="B54" s="1" t="s">
        <v>539</v>
      </c>
      <c r="C54" s="1" t="s">
        <v>539</v>
      </c>
      <c r="D54" s="2" t="s">
        <v>540</v>
      </c>
      <c r="E54" s="1" t="s">
        <v>23</v>
      </c>
      <c r="F54" s="1">
        <v>1</v>
      </c>
      <c r="G54" s="1" t="s">
        <v>804</v>
      </c>
      <c r="R54" s="1"/>
      <c r="S54" s="1"/>
      <c r="T54" s="1"/>
      <c r="U54" s="2"/>
      <c r="V54" s="1"/>
      <c r="W54" s="1"/>
      <c r="X54" s="1"/>
    </row>
    <row r="55" spans="1:24" ht="15.75" customHeight="1" x14ac:dyDescent="0.2">
      <c r="A55" s="1" t="s">
        <v>541</v>
      </c>
      <c r="B55" s="1" t="s">
        <v>542</v>
      </c>
      <c r="C55" s="1" t="s">
        <v>542</v>
      </c>
      <c r="D55" s="2" t="s">
        <v>543</v>
      </c>
      <c r="E55" s="1">
        <v>1</v>
      </c>
      <c r="F55" s="1">
        <v>1</v>
      </c>
      <c r="G55" s="1" t="s">
        <v>804</v>
      </c>
      <c r="R55" s="1"/>
      <c r="S55" s="1"/>
      <c r="T55" s="1"/>
      <c r="U55" s="2"/>
      <c r="V55" s="1"/>
      <c r="W55" s="1"/>
      <c r="X55" s="1"/>
    </row>
    <row r="56" spans="1:24" ht="15.75" customHeight="1" x14ac:dyDescent="0.2">
      <c r="A56" s="1" t="s">
        <v>544</v>
      </c>
      <c r="B56" s="1" t="s">
        <v>545</v>
      </c>
      <c r="C56" s="1" t="s">
        <v>545</v>
      </c>
      <c r="D56" s="2" t="s">
        <v>546</v>
      </c>
      <c r="E56" s="1">
        <v>1</v>
      </c>
      <c r="F56" s="1">
        <v>1</v>
      </c>
      <c r="G56" s="1" t="s">
        <v>804</v>
      </c>
      <c r="R56" s="1"/>
      <c r="S56" s="1"/>
      <c r="T56" s="1"/>
      <c r="U56" s="2"/>
      <c r="V56" s="1"/>
      <c r="W56" s="1"/>
      <c r="X56" s="1"/>
    </row>
    <row r="57" spans="1:24" ht="15.75" customHeight="1" x14ac:dyDescent="0.2">
      <c r="A57" s="1" t="s">
        <v>547</v>
      </c>
      <c r="B57" s="1" t="s">
        <v>548</v>
      </c>
      <c r="C57" s="1" t="s">
        <v>548</v>
      </c>
      <c r="D57" s="2" t="s">
        <v>549</v>
      </c>
      <c r="E57" s="1">
        <v>1</v>
      </c>
      <c r="F57" s="1">
        <v>1</v>
      </c>
      <c r="G57" s="1" t="s">
        <v>804</v>
      </c>
      <c r="R57" s="1"/>
      <c r="S57" s="1"/>
      <c r="T57" s="1"/>
      <c r="U57" s="2"/>
      <c r="V57" s="1"/>
      <c r="W57" s="1"/>
      <c r="X57" s="1"/>
    </row>
    <row r="58" spans="1:24" ht="15.75" customHeight="1" x14ac:dyDescent="0.2">
      <c r="A58" s="1" t="s">
        <v>550</v>
      </c>
      <c r="B58" s="1" t="s">
        <v>551</v>
      </c>
      <c r="C58" s="1" t="s">
        <v>551</v>
      </c>
      <c r="D58" s="2" t="s">
        <v>552</v>
      </c>
      <c r="E58" s="1">
        <v>1</v>
      </c>
      <c r="F58" s="1">
        <v>1</v>
      </c>
      <c r="G58" s="1" t="s">
        <v>804</v>
      </c>
      <c r="R58" s="1"/>
      <c r="S58" s="1"/>
      <c r="T58" s="1"/>
      <c r="U58" s="2"/>
      <c r="V58" s="1"/>
      <c r="W58" s="1"/>
      <c r="X58" s="1"/>
    </row>
    <row r="59" spans="1:24" ht="15.75" customHeight="1" x14ac:dyDescent="0.2">
      <c r="A59" s="1" t="s">
        <v>553</v>
      </c>
      <c r="B59" s="1" t="s">
        <v>554</v>
      </c>
      <c r="C59" s="1" t="s">
        <v>555</v>
      </c>
      <c r="D59" s="2" t="s">
        <v>556</v>
      </c>
      <c r="E59" s="1">
        <v>1</v>
      </c>
      <c r="F59" s="1">
        <v>1</v>
      </c>
      <c r="G59" s="1" t="s">
        <v>818</v>
      </c>
      <c r="R59" s="1"/>
      <c r="S59" s="1"/>
      <c r="T59" s="1"/>
      <c r="U59" s="2"/>
      <c r="V59" s="1"/>
      <c r="W59" s="1"/>
      <c r="X59" s="1"/>
    </row>
    <row r="60" spans="1:24" ht="15.75" customHeight="1" x14ac:dyDescent="0.2">
      <c r="A60" s="1" t="s">
        <v>557</v>
      </c>
      <c r="B60" s="1" t="s">
        <v>558</v>
      </c>
      <c r="C60" s="1" t="s">
        <v>559</v>
      </c>
      <c r="D60" s="2" t="s">
        <v>560</v>
      </c>
      <c r="E60" s="1" t="s">
        <v>493</v>
      </c>
      <c r="F60" s="1" t="s">
        <v>493</v>
      </c>
      <c r="G60" s="1" t="s">
        <v>803</v>
      </c>
      <c r="R60" s="1"/>
      <c r="S60" s="1"/>
      <c r="T60" s="1"/>
      <c r="U60" s="2"/>
      <c r="V60" s="1"/>
      <c r="W60" s="1"/>
      <c r="X60" s="1"/>
    </row>
    <row r="61" spans="1:24" ht="15.75" customHeight="1" x14ac:dyDescent="0.2">
      <c r="A61" s="1" t="s">
        <v>561</v>
      </c>
      <c r="B61" s="1" t="s">
        <v>562</v>
      </c>
      <c r="C61" s="1" t="s">
        <v>562</v>
      </c>
      <c r="D61" s="2" t="s">
        <v>563</v>
      </c>
      <c r="E61" s="1" t="s">
        <v>15</v>
      </c>
      <c r="F61" s="1">
        <v>1</v>
      </c>
      <c r="G61" s="1" t="s">
        <v>804</v>
      </c>
      <c r="R61" s="1"/>
      <c r="S61" s="1"/>
      <c r="T61" s="1"/>
      <c r="U61" s="2"/>
      <c r="V61" s="1"/>
      <c r="W61" s="1"/>
      <c r="X61" s="1"/>
    </row>
    <row r="62" spans="1:24" ht="15.75" customHeight="1" x14ac:dyDescent="0.2">
      <c r="A62" s="1" t="s">
        <v>564</v>
      </c>
      <c r="B62" s="1" t="s">
        <v>565</v>
      </c>
      <c r="C62" s="1" t="s">
        <v>565</v>
      </c>
      <c r="D62" s="2" t="s">
        <v>566</v>
      </c>
      <c r="E62" s="1">
        <v>1</v>
      </c>
      <c r="F62" s="1" t="s">
        <v>6</v>
      </c>
      <c r="G62" s="1" t="s">
        <v>804</v>
      </c>
      <c r="R62" s="1"/>
      <c r="S62" s="1"/>
      <c r="T62" s="1"/>
      <c r="U62" s="2"/>
      <c r="V62" s="1"/>
      <c r="W62" s="1"/>
      <c r="X62" s="1"/>
    </row>
    <row r="63" spans="1:24" ht="15.75" customHeight="1" x14ac:dyDescent="0.2">
      <c r="A63" s="1" t="s">
        <v>567</v>
      </c>
      <c r="B63" s="1" t="s">
        <v>568</v>
      </c>
      <c r="C63" s="1" t="s">
        <v>568</v>
      </c>
      <c r="D63" s="2" t="s">
        <v>569</v>
      </c>
      <c r="E63" s="1">
        <v>1</v>
      </c>
      <c r="F63" s="1" t="s">
        <v>6</v>
      </c>
      <c r="G63" s="1" t="s">
        <v>804</v>
      </c>
      <c r="R63" s="1"/>
      <c r="S63" s="1"/>
      <c r="T63" s="1"/>
      <c r="U63" s="2"/>
      <c r="V63" s="1"/>
      <c r="W63" s="1"/>
      <c r="X63" s="1"/>
    </row>
    <row r="64" spans="1:24" ht="15.75" customHeight="1" x14ac:dyDescent="0.2">
      <c r="A64" s="1" t="s">
        <v>570</v>
      </c>
      <c r="B64" s="1" t="s">
        <v>571</v>
      </c>
      <c r="C64" s="1" t="s">
        <v>571</v>
      </c>
      <c r="D64" s="2" t="s">
        <v>572</v>
      </c>
      <c r="E64" s="1">
        <v>1</v>
      </c>
      <c r="F64" s="1" t="s">
        <v>15</v>
      </c>
      <c r="G64" s="1" t="s">
        <v>804</v>
      </c>
      <c r="R64" s="1"/>
      <c r="S64" s="1"/>
      <c r="T64" s="1"/>
      <c r="U64" s="2"/>
      <c r="V64" s="1"/>
      <c r="W64" s="1"/>
      <c r="X64" s="1"/>
    </row>
    <row r="65" spans="1:24" ht="15.75" customHeight="1" x14ac:dyDescent="0.2">
      <c r="A65" s="1" t="s">
        <v>573</v>
      </c>
      <c r="B65" s="1" t="s">
        <v>574</v>
      </c>
      <c r="C65" s="1" t="s">
        <v>574</v>
      </c>
      <c r="D65" s="2" t="s">
        <v>575</v>
      </c>
      <c r="E65" s="1">
        <v>1</v>
      </c>
      <c r="F65" s="1" t="s">
        <v>23</v>
      </c>
      <c r="G65" s="1" t="s">
        <v>804</v>
      </c>
      <c r="R65" s="1"/>
      <c r="S65" s="1"/>
      <c r="T65" s="1"/>
      <c r="U65" s="2"/>
      <c r="V65" s="1"/>
      <c r="W65" s="1"/>
      <c r="X65" s="1"/>
    </row>
    <row r="66" spans="1:24" ht="15.75" customHeight="1" x14ac:dyDescent="0.2">
      <c r="A66" s="1" t="s">
        <v>576</v>
      </c>
      <c r="B66" s="1" t="s">
        <v>577</v>
      </c>
      <c r="C66" s="1" t="s">
        <v>577</v>
      </c>
      <c r="D66" s="2" t="s">
        <v>578</v>
      </c>
      <c r="E66" s="1">
        <v>1</v>
      </c>
      <c r="F66" s="1">
        <v>1</v>
      </c>
      <c r="G66" s="1" t="s">
        <v>804</v>
      </c>
      <c r="R66" s="1"/>
      <c r="S66" s="1"/>
      <c r="T66" s="1"/>
      <c r="U66" s="2"/>
      <c r="V66" s="1"/>
      <c r="W66" s="1"/>
      <c r="X66" s="1"/>
    </row>
    <row r="67" spans="1:24" ht="15.75" customHeight="1" x14ac:dyDescent="0.2">
      <c r="A67" s="1" t="s">
        <v>579</v>
      </c>
      <c r="B67" s="1" t="s">
        <v>580</v>
      </c>
      <c r="C67" s="1" t="s">
        <v>580</v>
      </c>
      <c r="D67" s="2" t="s">
        <v>581</v>
      </c>
      <c r="E67" s="1">
        <v>1</v>
      </c>
      <c r="F67" s="1">
        <v>1</v>
      </c>
      <c r="G67" s="1" t="s">
        <v>804</v>
      </c>
      <c r="R67" s="1"/>
      <c r="S67" s="1"/>
      <c r="T67" s="1"/>
      <c r="U67" s="2"/>
      <c r="V67" s="1"/>
      <c r="W67" s="1"/>
      <c r="X67" s="1"/>
    </row>
    <row r="68" spans="1:24" ht="15.75" customHeight="1" x14ac:dyDescent="0.2">
      <c r="A68" s="1" t="s">
        <v>582</v>
      </c>
      <c r="B68" s="1" t="s">
        <v>583</v>
      </c>
      <c r="C68" s="1" t="s">
        <v>583</v>
      </c>
      <c r="D68" s="2" t="s">
        <v>584</v>
      </c>
      <c r="E68" s="1">
        <v>1</v>
      </c>
      <c r="F68" s="1">
        <v>1</v>
      </c>
      <c r="G68" s="1" t="s">
        <v>804</v>
      </c>
      <c r="R68" s="1"/>
      <c r="S68" s="1"/>
      <c r="T68" s="1"/>
      <c r="U68" s="2"/>
      <c r="V68" s="1"/>
      <c r="W68" s="1"/>
      <c r="X68" s="1"/>
    </row>
    <row r="69" spans="1:24" ht="15.75" customHeight="1" x14ac:dyDescent="0.2">
      <c r="A69" s="1" t="s">
        <v>585</v>
      </c>
      <c r="B69" s="1" t="s">
        <v>586</v>
      </c>
      <c r="C69" s="1" t="s">
        <v>586</v>
      </c>
      <c r="D69" s="2" t="s">
        <v>587</v>
      </c>
      <c r="E69" s="1">
        <v>1</v>
      </c>
      <c r="F69" s="1">
        <v>1</v>
      </c>
      <c r="G69" s="1" t="s">
        <v>804</v>
      </c>
      <c r="R69" s="1"/>
      <c r="S69" s="1"/>
      <c r="T69" s="1"/>
      <c r="U69" s="2"/>
      <c r="V69" s="1"/>
      <c r="W69" s="1"/>
      <c r="X69" s="1"/>
    </row>
    <row r="70" spans="1:24" ht="15.75" customHeight="1" x14ac:dyDescent="0.2">
      <c r="A70" s="1" t="s">
        <v>588</v>
      </c>
      <c r="B70" s="1" t="s">
        <v>589</v>
      </c>
      <c r="C70" s="1" t="s">
        <v>589</v>
      </c>
      <c r="D70" s="2" t="s">
        <v>590</v>
      </c>
      <c r="E70" s="1">
        <v>1</v>
      </c>
      <c r="F70" s="1">
        <v>1</v>
      </c>
      <c r="G70" s="1" t="s">
        <v>804</v>
      </c>
      <c r="R70" s="1"/>
      <c r="S70" s="1"/>
      <c r="T70" s="1"/>
      <c r="U70" s="2"/>
      <c r="V70" s="1"/>
      <c r="W70" s="1"/>
      <c r="X70" s="1"/>
    </row>
    <row r="71" spans="1:24" ht="15.75" customHeight="1" x14ac:dyDescent="0.2">
      <c r="A71" s="1" t="s">
        <v>591</v>
      </c>
      <c r="B71" s="1" t="s">
        <v>592</v>
      </c>
      <c r="C71" s="1" t="s">
        <v>592</v>
      </c>
      <c r="D71" s="2" t="s">
        <v>593</v>
      </c>
      <c r="E71" s="1">
        <v>1</v>
      </c>
      <c r="F71" s="1">
        <v>1</v>
      </c>
      <c r="G71" s="1" t="s">
        <v>804</v>
      </c>
      <c r="R71" s="1"/>
      <c r="S71" s="1"/>
      <c r="T71" s="1"/>
      <c r="U71" s="2"/>
      <c r="V71" s="1"/>
      <c r="W71" s="1"/>
      <c r="X71" s="1"/>
    </row>
    <row r="72" spans="1:24" ht="15.75" customHeight="1" x14ac:dyDescent="0.2">
      <c r="A72" s="1" t="s">
        <v>594</v>
      </c>
      <c r="B72" s="1" t="s">
        <v>595</v>
      </c>
      <c r="C72" s="1" t="s">
        <v>595</v>
      </c>
      <c r="D72" s="2" t="s">
        <v>596</v>
      </c>
      <c r="E72" s="1" t="s">
        <v>15</v>
      </c>
      <c r="F72" s="1" t="s">
        <v>15</v>
      </c>
      <c r="G72" s="1" t="s">
        <v>804</v>
      </c>
      <c r="R72" s="1"/>
      <c r="S72" s="1"/>
      <c r="T72" s="1"/>
      <c r="U72" s="2"/>
      <c r="V72" s="1"/>
      <c r="W72" s="1"/>
      <c r="X72" s="1"/>
    </row>
    <row r="73" spans="1:24" ht="15.75" customHeight="1" x14ac:dyDescent="0.2">
      <c r="A73" s="1" t="s">
        <v>597</v>
      </c>
      <c r="B73" s="1" t="s">
        <v>598</v>
      </c>
      <c r="C73" s="1" t="s">
        <v>598</v>
      </c>
      <c r="D73" s="2" t="s">
        <v>599</v>
      </c>
      <c r="E73" s="1">
        <v>1</v>
      </c>
      <c r="F73" s="1">
        <v>1</v>
      </c>
      <c r="G73" s="1" t="s">
        <v>804</v>
      </c>
      <c r="R73" s="1"/>
      <c r="S73" s="1"/>
      <c r="T73" s="1"/>
      <c r="U73" s="2"/>
      <c r="V73" s="1"/>
      <c r="W73" s="1"/>
      <c r="X73" s="1"/>
    </row>
    <row r="74" spans="1:24" ht="15.75" customHeight="1" x14ac:dyDescent="0.2">
      <c r="A74" s="1" t="s">
        <v>600</v>
      </c>
      <c r="B74" s="1" t="s">
        <v>601</v>
      </c>
      <c r="C74" s="1" t="s">
        <v>602</v>
      </c>
      <c r="D74" s="2" t="s">
        <v>603</v>
      </c>
      <c r="E74" s="1" t="s">
        <v>15</v>
      </c>
      <c r="F74" s="1" t="s">
        <v>6</v>
      </c>
      <c r="G74" s="1" t="s">
        <v>803</v>
      </c>
      <c r="R74" s="1"/>
      <c r="S74" s="1"/>
      <c r="T74" s="1"/>
      <c r="U74" s="2"/>
      <c r="V74" s="1"/>
      <c r="W74" s="1"/>
      <c r="X74" s="1"/>
    </row>
    <row r="75" spans="1:24" ht="15.75" customHeight="1" x14ac:dyDescent="0.2">
      <c r="A75" s="1" t="s">
        <v>604</v>
      </c>
      <c r="B75" s="1" t="s">
        <v>605</v>
      </c>
      <c r="C75" s="1" t="s">
        <v>605</v>
      </c>
      <c r="D75" s="2" t="s">
        <v>605</v>
      </c>
      <c r="E75" s="1">
        <v>1</v>
      </c>
      <c r="F75" s="1">
        <v>1</v>
      </c>
      <c r="G75" s="1" t="s">
        <v>804</v>
      </c>
      <c r="R75" s="1"/>
      <c r="S75" s="1"/>
      <c r="T75" s="1"/>
      <c r="U75" s="2"/>
      <c r="V75" s="1"/>
      <c r="W75" s="1"/>
      <c r="X75" s="1"/>
    </row>
    <row r="76" spans="1:24" ht="15.75" customHeight="1" x14ac:dyDescent="0.2">
      <c r="A76" s="1" t="s">
        <v>606</v>
      </c>
      <c r="B76" s="1" t="s">
        <v>607</v>
      </c>
      <c r="C76" s="1" t="s">
        <v>607</v>
      </c>
      <c r="D76" s="2" t="s">
        <v>608</v>
      </c>
      <c r="E76" s="1">
        <v>1</v>
      </c>
      <c r="F76" s="1">
        <v>1</v>
      </c>
      <c r="G76" s="1" t="s">
        <v>804</v>
      </c>
      <c r="R76" s="1"/>
      <c r="S76" s="1"/>
      <c r="T76" s="1"/>
      <c r="U76" s="2"/>
      <c r="V76" s="1"/>
      <c r="W76" s="1"/>
      <c r="X76" s="1"/>
    </row>
    <row r="77" spans="1:24" ht="15.75" customHeight="1" x14ac:dyDescent="0.2">
      <c r="A77" s="1" t="s">
        <v>609</v>
      </c>
      <c r="B77" s="1" t="s">
        <v>610</v>
      </c>
      <c r="C77" s="1" t="s">
        <v>610</v>
      </c>
      <c r="D77" s="2" t="s">
        <v>611</v>
      </c>
      <c r="E77" s="1" t="s">
        <v>15</v>
      </c>
      <c r="F77" s="1" t="s">
        <v>15</v>
      </c>
      <c r="G77" s="1" t="s">
        <v>804</v>
      </c>
      <c r="R77" s="1"/>
      <c r="S77" s="1"/>
      <c r="T77" s="1"/>
      <c r="U77" s="2"/>
      <c r="V77" s="1"/>
      <c r="W77" s="1"/>
      <c r="X77" s="1"/>
    </row>
    <row r="78" spans="1:24" ht="15.75" customHeight="1" x14ac:dyDescent="0.2">
      <c r="A78" s="1" t="s">
        <v>612</v>
      </c>
      <c r="B78" s="1" t="s">
        <v>613</v>
      </c>
      <c r="C78" s="1" t="s">
        <v>613</v>
      </c>
      <c r="D78" s="2" t="s">
        <v>614</v>
      </c>
      <c r="E78" s="1">
        <v>1</v>
      </c>
      <c r="F78" s="1">
        <v>1</v>
      </c>
      <c r="G78" s="1" t="s">
        <v>804</v>
      </c>
      <c r="R78" s="1"/>
      <c r="S78" s="1"/>
      <c r="T78" s="1"/>
      <c r="U78" s="2"/>
      <c r="V78" s="1"/>
      <c r="W78" s="1"/>
      <c r="X78" s="1"/>
    </row>
    <row r="79" spans="1:24" ht="15.75" customHeight="1" x14ac:dyDescent="0.2">
      <c r="A79" s="1" t="s">
        <v>615</v>
      </c>
      <c r="B79" s="1" t="s">
        <v>616</v>
      </c>
      <c r="C79" s="1" t="s">
        <v>616</v>
      </c>
      <c r="D79" s="2" t="s">
        <v>616</v>
      </c>
      <c r="E79" s="1">
        <v>1</v>
      </c>
      <c r="F79" s="1">
        <v>1</v>
      </c>
      <c r="G79" s="1" t="s">
        <v>804</v>
      </c>
      <c r="R79" s="1"/>
      <c r="S79" s="1"/>
      <c r="T79" s="1"/>
      <c r="U79" s="2"/>
      <c r="V79" s="1"/>
      <c r="W79" s="1"/>
      <c r="X79" s="1"/>
    </row>
    <row r="80" spans="1:24" ht="15.75" customHeight="1" x14ac:dyDescent="0.2">
      <c r="A80" s="1" t="s">
        <v>617</v>
      </c>
      <c r="B80" s="1" t="s">
        <v>618</v>
      </c>
      <c r="C80" s="1" t="s">
        <v>618</v>
      </c>
      <c r="D80" s="2" t="s">
        <v>619</v>
      </c>
      <c r="E80" s="1">
        <v>1</v>
      </c>
      <c r="F80" s="1">
        <v>1</v>
      </c>
      <c r="G80" s="1" t="s">
        <v>804</v>
      </c>
      <c r="R80" s="1"/>
      <c r="S80" s="1"/>
      <c r="T80" s="1"/>
      <c r="U80" s="2"/>
      <c r="V80" s="1"/>
      <c r="W80" s="1"/>
      <c r="X80" s="1"/>
    </row>
    <row r="81" spans="1:24" ht="15.75" customHeight="1" x14ac:dyDescent="0.2">
      <c r="A81" s="1" t="s">
        <v>620</v>
      </c>
      <c r="B81" s="1" t="s">
        <v>621</v>
      </c>
      <c r="C81" s="1" t="s">
        <v>621</v>
      </c>
      <c r="D81" s="2" t="s">
        <v>622</v>
      </c>
      <c r="E81" s="1">
        <v>1</v>
      </c>
      <c r="F81" s="1">
        <v>1</v>
      </c>
      <c r="G81" s="1" t="s">
        <v>804</v>
      </c>
      <c r="R81" s="1"/>
      <c r="S81" s="1"/>
      <c r="T81" s="1"/>
      <c r="U81" s="2"/>
      <c r="V81" s="1"/>
      <c r="W81" s="1"/>
      <c r="X81" s="1"/>
    </row>
    <row r="82" spans="1:24" ht="15.75" customHeight="1" x14ac:dyDescent="0.2">
      <c r="A82" s="1" t="s">
        <v>623</v>
      </c>
      <c r="B82" s="1" t="s">
        <v>624</v>
      </c>
      <c r="C82" s="1" t="s">
        <v>624</v>
      </c>
      <c r="D82" s="2" t="s">
        <v>625</v>
      </c>
      <c r="E82" s="1">
        <v>1</v>
      </c>
      <c r="F82" s="1">
        <v>1</v>
      </c>
      <c r="G82" s="1" t="s">
        <v>804</v>
      </c>
      <c r="R82" s="1"/>
      <c r="S82" s="1"/>
      <c r="T82" s="1"/>
      <c r="U82" s="2"/>
      <c r="V82" s="1"/>
      <c r="W82" s="1"/>
      <c r="X82" s="1"/>
    </row>
    <row r="83" spans="1:24" ht="15.75" customHeight="1" x14ac:dyDescent="0.2">
      <c r="A83" s="1" t="s">
        <v>626</v>
      </c>
      <c r="B83" s="1" t="s">
        <v>627</v>
      </c>
      <c r="C83" s="1" t="s">
        <v>627</v>
      </c>
      <c r="D83" s="2" t="s">
        <v>628</v>
      </c>
      <c r="E83" s="1">
        <v>1</v>
      </c>
      <c r="F83" s="1">
        <v>1</v>
      </c>
      <c r="G83" s="1" t="s">
        <v>804</v>
      </c>
      <c r="R83" s="1"/>
      <c r="S83" s="1"/>
      <c r="T83" s="1"/>
      <c r="U83" s="2"/>
      <c r="V83" s="1"/>
      <c r="W83" s="1"/>
      <c r="X83" s="1"/>
    </row>
    <row r="84" spans="1:24" ht="15.75" customHeight="1" x14ac:dyDescent="0.2">
      <c r="A84" s="1" t="s">
        <v>629</v>
      </c>
      <c r="B84" s="1" t="s">
        <v>630</v>
      </c>
      <c r="C84" s="1" t="s">
        <v>630</v>
      </c>
      <c r="D84" s="2" t="s">
        <v>631</v>
      </c>
      <c r="E84" s="1">
        <v>1</v>
      </c>
      <c r="F84" s="1" t="s">
        <v>15</v>
      </c>
      <c r="G84" s="1" t="s">
        <v>804</v>
      </c>
      <c r="R84" s="1"/>
      <c r="S84" s="1"/>
      <c r="T84" s="1"/>
      <c r="U84" s="2"/>
      <c r="V84" s="1"/>
      <c r="W84" s="1"/>
      <c r="X84" s="1"/>
    </row>
    <row r="85" spans="1:24" ht="15.75" customHeight="1" x14ac:dyDescent="0.2">
      <c r="A85" s="1" t="s">
        <v>632</v>
      </c>
      <c r="B85" s="1" t="s">
        <v>633</v>
      </c>
      <c r="C85" s="1" t="s">
        <v>633</v>
      </c>
      <c r="D85" s="2" t="s">
        <v>634</v>
      </c>
      <c r="E85" s="1">
        <v>1</v>
      </c>
      <c r="F85" s="1">
        <v>1</v>
      </c>
      <c r="G85" s="1" t="s">
        <v>804</v>
      </c>
      <c r="R85" s="1"/>
      <c r="S85" s="1"/>
      <c r="T85" s="1"/>
      <c r="U85" s="2"/>
      <c r="V85" s="1"/>
      <c r="W85" s="1"/>
      <c r="X85" s="1"/>
    </row>
    <row r="86" spans="1:24" ht="15.75" customHeight="1" x14ac:dyDescent="0.2">
      <c r="A86" s="1" t="s">
        <v>635</v>
      </c>
      <c r="B86" s="1" t="s">
        <v>636</v>
      </c>
      <c r="C86" s="1" t="s">
        <v>636</v>
      </c>
      <c r="D86" s="2" t="s">
        <v>636</v>
      </c>
      <c r="E86" s="1">
        <v>1</v>
      </c>
      <c r="F86" s="1">
        <v>1</v>
      </c>
      <c r="G86" s="1" t="s">
        <v>804</v>
      </c>
      <c r="R86" s="1"/>
      <c r="S86" s="1"/>
      <c r="T86" s="1"/>
      <c r="U86" s="2"/>
      <c r="V86" s="1"/>
      <c r="W86" s="1"/>
      <c r="X86" s="1"/>
    </row>
    <row r="87" spans="1:24" ht="15.75" customHeight="1" x14ac:dyDescent="0.2">
      <c r="A87" s="1" t="s">
        <v>637</v>
      </c>
      <c r="B87" s="1" t="s">
        <v>638</v>
      </c>
      <c r="C87" s="1" t="s">
        <v>638</v>
      </c>
      <c r="D87" s="2" t="s">
        <v>639</v>
      </c>
      <c r="E87" s="1" t="s">
        <v>15</v>
      </c>
      <c r="F87" s="1">
        <v>1</v>
      </c>
      <c r="G87" s="1" t="s">
        <v>804</v>
      </c>
      <c r="R87" s="1"/>
      <c r="S87" s="1"/>
      <c r="T87" s="1"/>
      <c r="U87" s="2"/>
      <c r="V87" s="1"/>
      <c r="W87" s="1"/>
      <c r="X87" s="1"/>
    </row>
    <row r="88" spans="1:24" ht="15.75" customHeight="1" x14ac:dyDescent="0.2">
      <c r="A88" s="1" t="s">
        <v>640</v>
      </c>
      <c r="B88" s="1" t="s">
        <v>641</v>
      </c>
      <c r="C88" s="1" t="s">
        <v>641</v>
      </c>
      <c r="D88" s="2" t="s">
        <v>642</v>
      </c>
      <c r="E88" s="1">
        <v>1</v>
      </c>
      <c r="F88" s="1">
        <v>1</v>
      </c>
      <c r="G88" s="1" t="s">
        <v>804</v>
      </c>
      <c r="R88" s="1"/>
      <c r="S88" s="1"/>
      <c r="T88" s="1"/>
      <c r="U88" s="2"/>
      <c r="V88" s="1"/>
      <c r="W88" s="1"/>
      <c r="X88" s="1"/>
    </row>
    <row r="89" spans="1:24" ht="15.75" customHeight="1" x14ac:dyDescent="0.2">
      <c r="A89" s="1" t="s">
        <v>643</v>
      </c>
      <c r="B89" s="1" t="s">
        <v>644</v>
      </c>
      <c r="C89" s="1" t="s">
        <v>644</v>
      </c>
      <c r="D89" s="2" t="s">
        <v>645</v>
      </c>
      <c r="E89" s="1">
        <v>1</v>
      </c>
      <c r="F89" s="1" t="s">
        <v>15</v>
      </c>
      <c r="G89" s="1" t="s">
        <v>804</v>
      </c>
      <c r="R89" s="1"/>
      <c r="S89" s="1"/>
      <c r="T89" s="1"/>
      <c r="U89" s="2"/>
      <c r="V89" s="1"/>
      <c r="W89" s="1"/>
      <c r="X89" s="1"/>
    </row>
    <row r="90" spans="1:24" ht="15.75" customHeight="1" x14ac:dyDescent="0.2">
      <c r="A90" s="1" t="s">
        <v>646</v>
      </c>
      <c r="B90" s="1" t="s">
        <v>647</v>
      </c>
      <c r="C90" s="1" t="s">
        <v>647</v>
      </c>
      <c r="D90" s="2" t="s">
        <v>648</v>
      </c>
      <c r="E90" s="1">
        <v>1</v>
      </c>
      <c r="F90" s="1">
        <v>1</v>
      </c>
      <c r="G90" s="1" t="s">
        <v>804</v>
      </c>
      <c r="R90" s="1"/>
      <c r="S90" s="1"/>
      <c r="T90" s="1"/>
      <c r="U90" s="2"/>
      <c r="V90" s="1"/>
      <c r="W90" s="1"/>
      <c r="X90" s="1"/>
    </row>
    <row r="91" spans="1:24" ht="15.75" customHeight="1" x14ac:dyDescent="0.2">
      <c r="A91" s="1" t="s">
        <v>649</v>
      </c>
      <c r="B91" s="1" t="s">
        <v>650</v>
      </c>
      <c r="C91" s="1" t="s">
        <v>650</v>
      </c>
      <c r="D91" s="2" t="s">
        <v>651</v>
      </c>
      <c r="E91" s="1">
        <v>1</v>
      </c>
      <c r="F91" s="1" t="s">
        <v>15</v>
      </c>
      <c r="G91" s="1" t="s">
        <v>804</v>
      </c>
      <c r="R91" s="1"/>
      <c r="S91" s="1"/>
      <c r="T91" s="1"/>
      <c r="U91" s="2"/>
      <c r="V91" s="1"/>
      <c r="W91" s="1"/>
      <c r="X91" s="1"/>
    </row>
    <row r="92" spans="1:24" ht="15.75" customHeight="1" x14ac:dyDescent="0.2">
      <c r="A92" s="1" t="s">
        <v>652</v>
      </c>
      <c r="B92" s="1" t="s">
        <v>653</v>
      </c>
      <c r="C92" s="1" t="s">
        <v>653</v>
      </c>
      <c r="D92" s="2" t="s">
        <v>654</v>
      </c>
      <c r="E92" s="1">
        <v>1</v>
      </c>
      <c r="F92" s="1">
        <v>1</v>
      </c>
      <c r="G92" s="1" t="s">
        <v>804</v>
      </c>
      <c r="R92" s="1"/>
      <c r="S92" s="1"/>
      <c r="T92" s="1"/>
      <c r="U92" s="2"/>
      <c r="V92" s="1"/>
      <c r="W92" s="1"/>
      <c r="X92" s="1"/>
    </row>
    <row r="93" spans="1:24" ht="15.75" customHeight="1" x14ac:dyDescent="0.2">
      <c r="A93" s="1" t="s">
        <v>655</v>
      </c>
      <c r="B93" s="1" t="s">
        <v>656</v>
      </c>
      <c r="C93" s="1" t="s">
        <v>656</v>
      </c>
      <c r="D93" s="2" t="s">
        <v>657</v>
      </c>
      <c r="E93" s="1">
        <v>1</v>
      </c>
      <c r="F93" s="1">
        <v>1</v>
      </c>
      <c r="G93" s="1" t="s">
        <v>804</v>
      </c>
      <c r="R93" s="1"/>
      <c r="S93" s="1"/>
      <c r="T93" s="1"/>
      <c r="U93" s="2"/>
      <c r="V93" s="1"/>
      <c r="W93" s="1"/>
      <c r="X93" s="1"/>
    </row>
    <row r="94" spans="1:24" ht="15.75" customHeight="1" x14ac:dyDescent="0.2">
      <c r="A94" s="1" t="s">
        <v>658</v>
      </c>
      <c r="B94" s="1" t="s">
        <v>659</v>
      </c>
      <c r="C94" s="1" t="s">
        <v>659</v>
      </c>
      <c r="D94" s="2" t="s">
        <v>660</v>
      </c>
      <c r="E94" s="1">
        <v>1</v>
      </c>
      <c r="F94" s="1" t="s">
        <v>15</v>
      </c>
      <c r="G94" s="1" t="s">
        <v>804</v>
      </c>
      <c r="R94" s="1"/>
      <c r="S94" s="1"/>
      <c r="T94" s="1"/>
      <c r="U94" s="2"/>
      <c r="V94" s="1"/>
      <c r="W94" s="1"/>
      <c r="X94" s="1"/>
    </row>
    <row r="95" spans="1:24" ht="15.75" customHeight="1" x14ac:dyDescent="0.2">
      <c r="A95" s="1" t="s">
        <v>661</v>
      </c>
      <c r="B95" s="1" t="s">
        <v>662</v>
      </c>
      <c r="C95" s="1" t="s">
        <v>662</v>
      </c>
      <c r="D95" s="2" t="s">
        <v>662</v>
      </c>
      <c r="E95" s="1">
        <v>1</v>
      </c>
      <c r="F95" s="1">
        <v>1</v>
      </c>
      <c r="G95" s="1" t="s">
        <v>804</v>
      </c>
      <c r="R95" s="1"/>
      <c r="S95" s="1"/>
      <c r="T95" s="1"/>
      <c r="U95" s="2"/>
      <c r="V95" s="1"/>
      <c r="W95" s="1"/>
      <c r="X95" s="1"/>
    </row>
    <row r="96" spans="1:24" ht="15.75" customHeight="1" x14ac:dyDescent="0.2">
      <c r="A96" s="1" t="s">
        <v>663</v>
      </c>
      <c r="B96" s="1" t="s">
        <v>664</v>
      </c>
      <c r="C96" s="1" t="s">
        <v>664</v>
      </c>
      <c r="D96" s="2" t="s">
        <v>665</v>
      </c>
      <c r="E96" s="1">
        <v>1</v>
      </c>
      <c r="F96" s="1">
        <v>1</v>
      </c>
      <c r="G96" s="1" t="s">
        <v>804</v>
      </c>
      <c r="R96" s="1"/>
      <c r="S96" s="1"/>
      <c r="T96" s="1"/>
      <c r="U96" s="2"/>
      <c r="V96" s="1"/>
      <c r="W96" s="1"/>
      <c r="X96" s="1"/>
    </row>
    <row r="97" spans="1:24" ht="15.75" customHeight="1" x14ac:dyDescent="0.2">
      <c r="A97" s="1" t="s">
        <v>666</v>
      </c>
      <c r="B97" s="1" t="s">
        <v>667</v>
      </c>
      <c r="C97" s="1" t="s">
        <v>667</v>
      </c>
      <c r="D97" s="2" t="s">
        <v>667</v>
      </c>
      <c r="E97" s="1">
        <v>1</v>
      </c>
      <c r="F97" s="1">
        <v>1</v>
      </c>
      <c r="G97" s="1" t="s">
        <v>804</v>
      </c>
      <c r="R97" s="1"/>
      <c r="S97" s="1"/>
      <c r="T97" s="1"/>
      <c r="U97" s="2"/>
      <c r="V97" s="1"/>
      <c r="W97" s="1"/>
      <c r="X97" s="1"/>
    </row>
    <row r="98" spans="1:24" ht="15.75" customHeight="1" x14ac:dyDescent="0.2">
      <c r="A98" s="1" t="s">
        <v>668</v>
      </c>
      <c r="B98" s="1" t="s">
        <v>669</v>
      </c>
      <c r="C98" s="1" t="s">
        <v>669</v>
      </c>
      <c r="D98" s="2" t="s">
        <v>670</v>
      </c>
      <c r="E98" s="1">
        <v>1</v>
      </c>
      <c r="F98" s="1">
        <v>1</v>
      </c>
      <c r="G98" s="1" t="s">
        <v>804</v>
      </c>
      <c r="R98" s="1"/>
      <c r="S98" s="1"/>
      <c r="T98" s="1"/>
      <c r="U98" s="2"/>
      <c r="V98" s="1"/>
      <c r="W98" s="1"/>
      <c r="X98" s="1"/>
    </row>
    <row r="99" spans="1:24" ht="15.75" customHeight="1" x14ac:dyDescent="0.2">
      <c r="A99" s="1" t="s">
        <v>671</v>
      </c>
      <c r="B99" s="1" t="s">
        <v>672</v>
      </c>
      <c r="C99" s="1" t="s">
        <v>673</v>
      </c>
      <c r="D99" s="2" t="s">
        <v>674</v>
      </c>
      <c r="E99" s="1" t="s">
        <v>6</v>
      </c>
      <c r="F99" s="1" t="s">
        <v>6</v>
      </c>
      <c r="G99" s="1" t="s">
        <v>803</v>
      </c>
      <c r="R99" s="1"/>
      <c r="S99" s="1"/>
      <c r="T99" s="1"/>
      <c r="U99" s="2"/>
      <c r="V99" s="1"/>
      <c r="W99" s="1"/>
      <c r="X99" s="1"/>
    </row>
    <row r="100" spans="1:24" ht="15.75" customHeight="1" x14ac:dyDescent="0.2">
      <c r="A100" s="1" t="s">
        <v>415</v>
      </c>
      <c r="B100" s="1" t="s">
        <v>416</v>
      </c>
      <c r="C100" s="1" t="s">
        <v>416</v>
      </c>
      <c r="D100" s="2" t="s">
        <v>416</v>
      </c>
      <c r="E100" s="1">
        <v>1</v>
      </c>
      <c r="F100" s="1">
        <v>1</v>
      </c>
      <c r="G100" s="1" t="s">
        <v>811</v>
      </c>
      <c r="R100" s="1"/>
      <c r="S100" s="1"/>
      <c r="T100" s="1"/>
      <c r="U100" s="2"/>
      <c r="V100" s="1"/>
      <c r="W100" s="1"/>
      <c r="X100" s="1"/>
    </row>
    <row r="101" spans="1:24" ht="15.75" customHeight="1" x14ac:dyDescent="0.2">
      <c r="A101" s="1" t="s">
        <v>417</v>
      </c>
      <c r="B101" s="1" t="s">
        <v>418</v>
      </c>
      <c r="C101" s="1" t="s">
        <v>419</v>
      </c>
      <c r="D101" s="2" t="s">
        <v>418</v>
      </c>
      <c r="E101" s="1" t="s">
        <v>23</v>
      </c>
      <c r="F101" s="1" t="s">
        <v>23</v>
      </c>
      <c r="G101" s="1" t="s">
        <v>803</v>
      </c>
      <c r="R101" s="1"/>
      <c r="S101" s="1"/>
      <c r="T101" s="1"/>
      <c r="U101" s="2"/>
      <c r="V101" s="1"/>
      <c r="W101" s="1"/>
      <c r="X101" s="1"/>
    </row>
    <row r="102" spans="1:24" ht="15.75" customHeight="1" x14ac:dyDescent="0.2">
      <c r="A102" s="1" t="s">
        <v>420</v>
      </c>
      <c r="B102" s="1" t="s">
        <v>421</v>
      </c>
      <c r="C102" s="1" t="s">
        <v>422</v>
      </c>
      <c r="D102" s="2" t="s">
        <v>421</v>
      </c>
      <c r="E102" s="1" t="s">
        <v>23</v>
      </c>
      <c r="F102" s="1" t="s">
        <v>23</v>
      </c>
      <c r="G102" s="1" t="s">
        <v>808</v>
      </c>
      <c r="R102" s="1"/>
      <c r="S102" s="1"/>
      <c r="T102" s="1"/>
      <c r="U102" s="2"/>
      <c r="V102" s="1"/>
      <c r="W102" s="1"/>
      <c r="X102" s="1"/>
    </row>
    <row r="103" spans="1:24" ht="15.75" customHeight="1" x14ac:dyDescent="0.2">
      <c r="A103" s="1" t="s">
        <v>423</v>
      </c>
      <c r="B103" s="1" t="s">
        <v>424</v>
      </c>
      <c r="C103" s="1" t="s">
        <v>424</v>
      </c>
      <c r="D103" s="2" t="s">
        <v>424</v>
      </c>
      <c r="E103" s="1">
        <v>1</v>
      </c>
      <c r="F103" s="1">
        <v>1</v>
      </c>
      <c r="G103" s="1" t="s">
        <v>811</v>
      </c>
      <c r="R103" s="1"/>
      <c r="S103" s="1"/>
      <c r="T103" s="1"/>
      <c r="U103" s="2"/>
      <c r="V103" s="1"/>
      <c r="W103" s="1"/>
      <c r="X103" s="1"/>
    </row>
    <row r="104" spans="1:24" ht="15.75" customHeight="1" x14ac:dyDescent="0.2">
      <c r="A104" s="1" t="s">
        <v>425</v>
      </c>
      <c r="B104" s="1" t="s">
        <v>426</v>
      </c>
      <c r="C104" s="1" t="s">
        <v>427</v>
      </c>
      <c r="D104" s="2" t="s">
        <v>426</v>
      </c>
      <c r="E104" s="1" t="s">
        <v>23</v>
      </c>
      <c r="F104" s="1" t="s">
        <v>23</v>
      </c>
      <c r="G104" s="32" t="s">
        <v>803</v>
      </c>
      <c r="R104" s="1"/>
      <c r="S104" s="1"/>
      <c r="T104" s="1"/>
      <c r="U104" s="2"/>
      <c r="V104" s="1"/>
      <c r="W104" s="1"/>
      <c r="X104" s="1"/>
    </row>
    <row r="105" spans="1:24" ht="15.75" customHeight="1" x14ac:dyDescent="0.2">
      <c r="A105" s="1" t="s">
        <v>428</v>
      </c>
      <c r="B105" s="1" t="s">
        <v>429</v>
      </c>
      <c r="C105" s="1" t="s">
        <v>429</v>
      </c>
      <c r="D105" s="2" t="s">
        <v>430</v>
      </c>
      <c r="E105" s="1">
        <v>1</v>
      </c>
      <c r="F105" s="1">
        <v>1</v>
      </c>
      <c r="G105" s="1" t="s">
        <v>811</v>
      </c>
      <c r="R105" s="1"/>
      <c r="S105" s="1"/>
      <c r="T105" s="1"/>
      <c r="U105" s="2"/>
      <c r="V105" s="1"/>
      <c r="W105" s="1"/>
      <c r="X105" s="1"/>
    </row>
    <row r="106" spans="1:24" ht="15.75" customHeight="1" x14ac:dyDescent="0.2">
      <c r="A106" s="1" t="s">
        <v>431</v>
      </c>
      <c r="B106" s="1" t="s">
        <v>432</v>
      </c>
      <c r="C106" s="1" t="s">
        <v>432</v>
      </c>
      <c r="D106" s="2" t="s">
        <v>432</v>
      </c>
      <c r="E106" s="1">
        <v>1</v>
      </c>
      <c r="F106" s="1">
        <v>1</v>
      </c>
      <c r="G106" s="1" t="s">
        <v>811</v>
      </c>
      <c r="R106" s="1"/>
      <c r="S106" s="1"/>
      <c r="T106" s="1"/>
      <c r="U106" s="2"/>
      <c r="V106" s="1"/>
      <c r="W106" s="1"/>
      <c r="X106" s="1"/>
    </row>
    <row r="107" spans="1:24" ht="15.75" customHeight="1" x14ac:dyDescent="0.2">
      <c r="A107" s="1" t="s">
        <v>433</v>
      </c>
      <c r="B107" s="1" t="s">
        <v>434</v>
      </c>
      <c r="C107" s="1" t="s">
        <v>434</v>
      </c>
      <c r="D107" s="2" t="s">
        <v>434</v>
      </c>
      <c r="E107" s="1">
        <v>1</v>
      </c>
      <c r="F107" s="1">
        <v>1</v>
      </c>
      <c r="G107" s="1" t="s">
        <v>811</v>
      </c>
      <c r="R107" s="1"/>
      <c r="S107" s="1"/>
      <c r="T107" s="1"/>
      <c r="U107" s="2"/>
      <c r="V107" s="1"/>
      <c r="W107" s="1"/>
      <c r="X107" s="1"/>
    </row>
    <row r="108" spans="1:24" ht="15.75" customHeight="1" x14ac:dyDescent="0.2">
      <c r="A108" s="1" t="s">
        <v>435</v>
      </c>
      <c r="B108" s="1" t="s">
        <v>436</v>
      </c>
      <c r="C108" s="1" t="s">
        <v>437</v>
      </c>
      <c r="D108" s="2" t="s">
        <v>436</v>
      </c>
      <c r="E108" s="1" t="s">
        <v>23</v>
      </c>
      <c r="F108" s="1" t="s">
        <v>23</v>
      </c>
      <c r="G108" s="1" t="s">
        <v>802</v>
      </c>
      <c r="R108" s="1"/>
      <c r="S108" s="1"/>
      <c r="T108" s="1"/>
      <c r="U108" s="2"/>
      <c r="V108" s="1"/>
      <c r="W108" s="1"/>
      <c r="X108" s="1"/>
    </row>
    <row r="109" spans="1:24" ht="15.75" customHeight="1" x14ac:dyDescent="0.2">
      <c r="A109" s="1" t="s">
        <v>438</v>
      </c>
      <c r="B109" s="1" t="s">
        <v>439</v>
      </c>
      <c r="C109" s="1" t="s">
        <v>439</v>
      </c>
      <c r="D109" s="2" t="s">
        <v>439</v>
      </c>
      <c r="E109" s="1">
        <v>1</v>
      </c>
      <c r="F109" s="1">
        <v>1</v>
      </c>
      <c r="G109" s="1" t="s">
        <v>811</v>
      </c>
      <c r="R109" s="1"/>
      <c r="S109" s="1"/>
      <c r="T109" s="1"/>
      <c r="U109" s="2"/>
      <c r="V109" s="1"/>
      <c r="W109" s="1"/>
      <c r="X109" s="1"/>
    </row>
    <row r="110" spans="1:24" ht="15.75" customHeight="1" x14ac:dyDescent="0.2">
      <c r="A110" s="1" t="s">
        <v>440</v>
      </c>
      <c r="B110" s="1" t="s">
        <v>441</v>
      </c>
      <c r="C110" s="1" t="s">
        <v>441</v>
      </c>
      <c r="D110" s="2" t="s">
        <v>441</v>
      </c>
      <c r="E110" s="1">
        <v>1</v>
      </c>
      <c r="F110" s="1">
        <v>1</v>
      </c>
      <c r="G110" s="1" t="s">
        <v>811</v>
      </c>
      <c r="R110" s="1"/>
      <c r="S110" s="1"/>
      <c r="T110" s="1"/>
      <c r="U110" s="2"/>
      <c r="V110" s="1"/>
      <c r="W110" s="1"/>
      <c r="X110" s="1"/>
    </row>
    <row r="111" spans="1:24" ht="15.75" customHeight="1" x14ac:dyDescent="0.2">
      <c r="A111" s="1" t="s">
        <v>442</v>
      </c>
      <c r="B111" s="1" t="s">
        <v>443</v>
      </c>
      <c r="C111" s="1" t="s">
        <v>443</v>
      </c>
      <c r="D111" s="2" t="s">
        <v>444</v>
      </c>
      <c r="E111" s="1">
        <v>1</v>
      </c>
      <c r="F111" s="1">
        <v>1</v>
      </c>
      <c r="G111" s="1" t="s">
        <v>811</v>
      </c>
      <c r="R111" s="1"/>
      <c r="S111" s="1"/>
      <c r="T111" s="1"/>
      <c r="U111" s="2"/>
      <c r="V111" s="1"/>
      <c r="W111" s="1"/>
      <c r="X111" s="1"/>
    </row>
    <row r="112" spans="1:24" ht="15.75" customHeight="1" x14ac:dyDescent="0.2">
      <c r="A112" s="1" t="s">
        <v>445</v>
      </c>
      <c r="B112" s="1" t="s">
        <v>446</v>
      </c>
      <c r="C112" s="1" t="s">
        <v>446</v>
      </c>
      <c r="D112" s="2" t="s">
        <v>446</v>
      </c>
      <c r="E112" s="1">
        <v>1</v>
      </c>
      <c r="F112" s="1">
        <v>1</v>
      </c>
      <c r="G112" s="1" t="s">
        <v>811</v>
      </c>
      <c r="R112" s="1"/>
      <c r="S112" s="1"/>
      <c r="T112" s="1"/>
      <c r="U112" s="2"/>
      <c r="V112" s="1"/>
      <c r="W112" s="1"/>
      <c r="X112" s="1"/>
    </row>
    <row r="113" spans="1:24" ht="15.75" customHeight="1" x14ac:dyDescent="0.2">
      <c r="A113" s="1" t="s">
        <v>447</v>
      </c>
      <c r="B113" s="1" t="s">
        <v>448</v>
      </c>
      <c r="C113" s="1" t="s">
        <v>449</v>
      </c>
      <c r="D113" s="2" t="s">
        <v>448</v>
      </c>
      <c r="E113" s="1">
        <v>1</v>
      </c>
      <c r="F113" s="1">
        <v>1</v>
      </c>
      <c r="G113" s="32" t="s">
        <v>802</v>
      </c>
      <c r="R113" s="1"/>
      <c r="S113" s="1"/>
      <c r="T113" s="1"/>
      <c r="U113" s="2"/>
      <c r="V113" s="1"/>
      <c r="W113" s="1"/>
      <c r="X113" s="32"/>
    </row>
    <row r="114" spans="1:24" ht="15.75" customHeight="1" x14ac:dyDescent="0.2">
      <c r="A114" s="1" t="s">
        <v>450</v>
      </c>
      <c r="B114" s="1" t="s">
        <v>451</v>
      </c>
      <c r="C114" s="1" t="s">
        <v>451</v>
      </c>
      <c r="D114" s="2" t="s">
        <v>451</v>
      </c>
      <c r="E114" s="1">
        <v>1</v>
      </c>
      <c r="F114" s="1">
        <v>1</v>
      </c>
      <c r="G114" s="1" t="s">
        <v>811</v>
      </c>
      <c r="R114" s="1"/>
      <c r="S114" s="1"/>
      <c r="T114" s="1"/>
      <c r="U114" s="2"/>
      <c r="V114" s="1"/>
      <c r="W114" s="1"/>
      <c r="X114" s="1"/>
    </row>
    <row r="115" spans="1:24" ht="15.75" customHeight="1" x14ac:dyDescent="0.2">
      <c r="A115" s="1" t="s">
        <v>452</v>
      </c>
      <c r="B115" s="1" t="s">
        <v>453</v>
      </c>
      <c r="C115" s="1" t="s">
        <v>453</v>
      </c>
      <c r="D115" s="2" t="s">
        <v>453</v>
      </c>
      <c r="E115" s="1">
        <v>1</v>
      </c>
      <c r="F115" s="1">
        <v>1</v>
      </c>
      <c r="G115" s="1" t="s">
        <v>811</v>
      </c>
      <c r="R115" s="1"/>
      <c r="S115" s="1"/>
      <c r="T115" s="1"/>
      <c r="U115" s="2"/>
      <c r="V115" s="1"/>
      <c r="W115" s="1"/>
      <c r="X115" s="1"/>
    </row>
    <row r="116" spans="1:24" ht="15.75" customHeight="1" x14ac:dyDescent="0.2">
      <c r="A116" s="1" t="s">
        <v>454</v>
      </c>
      <c r="B116" s="1" t="s">
        <v>455</v>
      </c>
      <c r="C116" s="1" t="s">
        <v>455</v>
      </c>
      <c r="D116" s="2" t="s">
        <v>455</v>
      </c>
      <c r="E116" s="1">
        <v>1</v>
      </c>
      <c r="F116" s="1">
        <v>1</v>
      </c>
      <c r="G116" s="1" t="s">
        <v>811</v>
      </c>
      <c r="R116" s="1"/>
      <c r="S116" s="1"/>
      <c r="T116" s="1"/>
      <c r="U116" s="2"/>
      <c r="V116" s="1"/>
      <c r="W116" s="1"/>
      <c r="X116" s="1"/>
    </row>
    <row r="117" spans="1:24" ht="15.75" customHeight="1" x14ac:dyDescent="0.2">
      <c r="A117" s="1" t="s">
        <v>456</v>
      </c>
      <c r="B117" s="1" t="s">
        <v>457</v>
      </c>
      <c r="C117" s="1" t="s">
        <v>457</v>
      </c>
      <c r="D117" s="2" t="s">
        <v>457</v>
      </c>
      <c r="E117" s="1">
        <v>1</v>
      </c>
      <c r="F117" s="1">
        <v>1</v>
      </c>
      <c r="G117" s="1" t="s">
        <v>811</v>
      </c>
      <c r="R117" s="1"/>
      <c r="S117" s="1"/>
      <c r="T117" s="1"/>
      <c r="U117" s="2"/>
      <c r="V117" s="1"/>
      <c r="W117" s="1"/>
      <c r="X117" s="1"/>
    </row>
    <row r="118" spans="1:24" ht="15.75" customHeight="1" x14ac:dyDescent="0.2">
      <c r="A118" s="1" t="s">
        <v>458</v>
      </c>
      <c r="B118" s="1" t="s">
        <v>459</v>
      </c>
      <c r="C118" s="1" t="s">
        <v>459</v>
      </c>
      <c r="D118" s="2" t="s">
        <v>459</v>
      </c>
      <c r="E118" s="1">
        <v>1</v>
      </c>
      <c r="F118" s="1">
        <v>1</v>
      </c>
      <c r="G118" s="1" t="s">
        <v>811</v>
      </c>
      <c r="R118" s="1"/>
      <c r="S118" s="1"/>
      <c r="T118" s="1"/>
      <c r="U118" s="2"/>
      <c r="V118" s="1"/>
      <c r="W118" s="1"/>
      <c r="X118" s="1"/>
    </row>
    <row r="119" spans="1:24" ht="15.75" customHeight="1" x14ac:dyDescent="0.2">
      <c r="A119" s="1" t="s">
        <v>460</v>
      </c>
      <c r="B119" s="1" t="s">
        <v>461</v>
      </c>
      <c r="C119" s="1" t="s">
        <v>461</v>
      </c>
      <c r="D119" s="2" t="s">
        <v>461</v>
      </c>
      <c r="E119" s="1">
        <v>1</v>
      </c>
      <c r="F119" s="1">
        <v>1</v>
      </c>
      <c r="G119" s="1" t="s">
        <v>811</v>
      </c>
      <c r="R119" s="1"/>
      <c r="S119" s="1"/>
      <c r="T119" s="1"/>
      <c r="U119" s="2"/>
      <c r="V119" s="1"/>
      <c r="W119" s="1"/>
      <c r="X119" s="1"/>
    </row>
    <row r="120" spans="1:24" ht="15.75" customHeight="1" x14ac:dyDescent="0.2">
      <c r="A120" s="1" t="s">
        <v>462</v>
      </c>
      <c r="B120" s="1" t="s">
        <v>463</v>
      </c>
      <c r="C120" s="1" t="s">
        <v>463</v>
      </c>
      <c r="D120" s="2" t="s">
        <v>463</v>
      </c>
      <c r="E120" s="1">
        <v>1</v>
      </c>
      <c r="F120" s="1">
        <v>1</v>
      </c>
      <c r="G120" s="1" t="s">
        <v>811</v>
      </c>
      <c r="R120" s="1"/>
      <c r="S120" s="1"/>
      <c r="T120" s="1"/>
      <c r="U120" s="2"/>
      <c r="V120" s="1"/>
      <c r="W120" s="1"/>
      <c r="X120" s="1"/>
    </row>
    <row r="121" spans="1:24" ht="15.75" customHeight="1" x14ac:dyDescent="0.2">
      <c r="A121" s="1" t="s">
        <v>464</v>
      </c>
      <c r="B121" s="1" t="s">
        <v>465</v>
      </c>
      <c r="C121" s="1" t="s">
        <v>465</v>
      </c>
      <c r="D121" s="2" t="s">
        <v>465</v>
      </c>
      <c r="E121" s="1">
        <v>1</v>
      </c>
      <c r="F121" s="1">
        <v>1</v>
      </c>
      <c r="G121" s="1" t="s">
        <v>811</v>
      </c>
      <c r="R121" s="1"/>
      <c r="S121" s="1"/>
      <c r="T121" s="1"/>
      <c r="U121" s="2"/>
      <c r="V121" s="1"/>
      <c r="W121" s="1"/>
      <c r="X121" s="1"/>
    </row>
    <row r="122" spans="1:24" ht="15.75" customHeight="1" x14ac:dyDescent="0.2">
      <c r="A122" s="1" t="s">
        <v>466</v>
      </c>
      <c r="B122" s="1" t="s">
        <v>467</v>
      </c>
      <c r="C122" s="1" t="s">
        <v>467</v>
      </c>
      <c r="D122" s="2" t="s">
        <v>467</v>
      </c>
      <c r="E122" s="1">
        <v>1</v>
      </c>
      <c r="F122" s="1">
        <v>1</v>
      </c>
      <c r="G122" s="1" t="s">
        <v>811</v>
      </c>
      <c r="R122" s="1"/>
      <c r="S122" s="1"/>
      <c r="T122" s="1"/>
      <c r="U122" s="2"/>
      <c r="V122" s="1"/>
      <c r="W122" s="1"/>
      <c r="X122" s="1"/>
    </row>
    <row r="123" spans="1:24" ht="15.75" customHeight="1" x14ac:dyDescent="0.2">
      <c r="A123" s="1" t="s">
        <v>468</v>
      </c>
      <c r="B123" s="1" t="s">
        <v>469</v>
      </c>
      <c r="C123" s="1" t="s">
        <v>469</v>
      </c>
      <c r="D123" s="2" t="s">
        <v>469</v>
      </c>
      <c r="E123" s="1">
        <v>1</v>
      </c>
      <c r="F123" s="1">
        <v>1</v>
      </c>
      <c r="G123" s="1" t="s">
        <v>811</v>
      </c>
      <c r="R123" s="1"/>
      <c r="S123" s="1"/>
      <c r="T123" s="1"/>
      <c r="U123" s="2"/>
      <c r="V123" s="1"/>
      <c r="W123" s="1"/>
      <c r="X123" s="1"/>
    </row>
    <row r="124" spans="1:24" ht="15.75" customHeight="1" x14ac:dyDescent="0.2">
      <c r="A124" s="1" t="s">
        <v>470</v>
      </c>
      <c r="B124" s="1" t="s">
        <v>471</v>
      </c>
      <c r="C124" s="1" t="s">
        <v>472</v>
      </c>
      <c r="D124" s="2" t="s">
        <v>471</v>
      </c>
      <c r="E124" s="1" t="s">
        <v>6</v>
      </c>
      <c r="F124" s="1" t="s">
        <v>6</v>
      </c>
      <c r="G124" s="1" t="s">
        <v>815</v>
      </c>
      <c r="R124" s="1"/>
      <c r="S124" s="1"/>
      <c r="T124" s="1"/>
      <c r="U124" s="2"/>
      <c r="V124" s="1"/>
      <c r="W124" s="1"/>
      <c r="X124" s="1"/>
    </row>
    <row r="125" spans="1:24" ht="15.75" customHeight="1" x14ac:dyDescent="0.2">
      <c r="A125" s="1" t="s">
        <v>473</v>
      </c>
      <c r="B125" s="1" t="s">
        <v>474</v>
      </c>
      <c r="C125" s="1" t="s">
        <v>474</v>
      </c>
      <c r="D125" s="2" t="s">
        <v>474</v>
      </c>
      <c r="E125" s="1">
        <v>1</v>
      </c>
      <c r="F125" s="1">
        <v>1</v>
      </c>
      <c r="G125" s="1" t="s">
        <v>811</v>
      </c>
      <c r="R125" s="1"/>
      <c r="S125" s="1"/>
      <c r="T125" s="1"/>
      <c r="U125" s="2"/>
      <c r="V125" s="1"/>
      <c r="W125" s="1"/>
      <c r="X125" s="1"/>
    </row>
    <row r="126" spans="1:24" ht="15.75" customHeight="1" x14ac:dyDescent="0.2">
      <c r="A126" s="1" t="s">
        <v>475</v>
      </c>
      <c r="B126" s="1" t="s">
        <v>476</v>
      </c>
      <c r="C126" s="1" t="s">
        <v>477</v>
      </c>
      <c r="D126" s="2" t="s">
        <v>476</v>
      </c>
      <c r="E126" s="1" t="s">
        <v>6</v>
      </c>
      <c r="F126" s="1" t="s">
        <v>6</v>
      </c>
      <c r="G126" s="1" t="s">
        <v>810</v>
      </c>
      <c r="R126" s="1"/>
      <c r="S126" s="1"/>
      <c r="T126" s="1"/>
      <c r="U126" s="2"/>
      <c r="V126" s="1"/>
      <c r="W126" s="1"/>
      <c r="X126" s="1"/>
    </row>
    <row r="127" spans="1:24" ht="15.75" customHeight="1" x14ac:dyDescent="0.2">
      <c r="A127" s="1" t="s">
        <v>478</v>
      </c>
      <c r="B127" s="1" t="s">
        <v>479</v>
      </c>
      <c r="C127" s="1" t="s">
        <v>479</v>
      </c>
      <c r="D127" s="2" t="s">
        <v>479</v>
      </c>
      <c r="E127" s="1">
        <v>1</v>
      </c>
      <c r="F127" s="1">
        <v>1</v>
      </c>
      <c r="G127" s="1" t="s">
        <v>811</v>
      </c>
      <c r="R127" s="1"/>
      <c r="S127" s="1"/>
      <c r="T127" s="1"/>
      <c r="U127" s="2"/>
      <c r="V127" s="1"/>
      <c r="W127" s="1"/>
      <c r="X127" s="1"/>
    </row>
    <row r="128" spans="1:24" ht="15.75" customHeight="1" x14ac:dyDescent="0.2">
      <c r="A128" s="1" t="s">
        <v>480</v>
      </c>
      <c r="B128" s="1" t="s">
        <v>481</v>
      </c>
      <c r="C128" s="1" t="s">
        <v>481</v>
      </c>
      <c r="D128" s="2" t="s">
        <v>481</v>
      </c>
      <c r="E128" s="1">
        <v>1</v>
      </c>
      <c r="F128" s="1">
        <v>1</v>
      </c>
      <c r="G128" s="1" t="s">
        <v>811</v>
      </c>
      <c r="R128" s="1"/>
      <c r="S128" s="1"/>
      <c r="T128" s="1"/>
      <c r="U128" s="2"/>
      <c r="V128" s="1"/>
      <c r="W128" s="1"/>
      <c r="X128" s="1"/>
    </row>
    <row r="129" spans="1:24" ht="15.75" customHeight="1" x14ac:dyDescent="0.2">
      <c r="A129" s="1" t="s">
        <v>482</v>
      </c>
      <c r="B129" s="1" t="s">
        <v>483</v>
      </c>
      <c r="C129" s="1" t="s">
        <v>483</v>
      </c>
      <c r="D129" s="2" t="s">
        <v>483</v>
      </c>
      <c r="E129" s="1">
        <v>1</v>
      </c>
      <c r="F129" s="1">
        <v>1</v>
      </c>
      <c r="G129" s="1" t="s">
        <v>811</v>
      </c>
      <c r="R129" s="1"/>
      <c r="S129" s="1"/>
      <c r="T129" s="1"/>
      <c r="U129" s="2"/>
      <c r="V129" s="1"/>
      <c r="W129" s="1"/>
      <c r="X129" s="1"/>
    </row>
    <row r="130" spans="1:24" ht="15.75" customHeight="1" x14ac:dyDescent="0.2">
      <c r="A130" s="1" t="s">
        <v>484</v>
      </c>
      <c r="B130" s="1" t="s">
        <v>485</v>
      </c>
      <c r="C130" s="1" t="s">
        <v>485</v>
      </c>
      <c r="D130" s="2" t="s">
        <v>485</v>
      </c>
      <c r="E130" s="1">
        <v>1</v>
      </c>
      <c r="F130" s="1">
        <v>1</v>
      </c>
      <c r="G130" s="1" t="s">
        <v>811</v>
      </c>
      <c r="R130" s="1"/>
      <c r="S130" s="1"/>
      <c r="T130" s="1"/>
      <c r="U130" s="2"/>
      <c r="V130" s="1"/>
      <c r="W130" s="1"/>
      <c r="X130" s="1"/>
    </row>
    <row r="131" spans="1:24" ht="15.75" customHeight="1" x14ac:dyDescent="0.2">
      <c r="A131" s="1" t="s">
        <v>486</v>
      </c>
      <c r="B131" s="1" t="s">
        <v>487</v>
      </c>
      <c r="C131" s="1" t="s">
        <v>487</v>
      </c>
      <c r="D131" s="2" t="s">
        <v>487</v>
      </c>
      <c r="E131" s="1">
        <v>1</v>
      </c>
      <c r="F131" s="1">
        <v>1</v>
      </c>
      <c r="G131" s="1" t="s">
        <v>811</v>
      </c>
      <c r="R131" s="1"/>
      <c r="S131" s="1"/>
      <c r="T131" s="1"/>
      <c r="U131" s="2"/>
      <c r="V131" s="1"/>
      <c r="W131" s="1"/>
      <c r="X131" s="1"/>
    </row>
    <row r="132" spans="1:24" ht="15.75" customHeight="1" x14ac:dyDescent="0.2">
      <c r="A132" s="1" t="s">
        <v>488</v>
      </c>
      <c r="B132" s="1" t="s">
        <v>489</v>
      </c>
      <c r="C132" s="1" t="s">
        <v>489</v>
      </c>
      <c r="D132" s="2" t="s">
        <v>489</v>
      </c>
      <c r="E132" s="1">
        <v>1</v>
      </c>
      <c r="F132" s="1">
        <v>1</v>
      </c>
      <c r="G132" s="1" t="s">
        <v>811</v>
      </c>
      <c r="R132" s="1"/>
      <c r="S132" s="1"/>
      <c r="T132" s="1"/>
      <c r="U132" s="2"/>
      <c r="V132" s="1"/>
      <c r="W132" s="1"/>
      <c r="X132" s="1"/>
    </row>
    <row r="133" spans="1:24" ht="15.75" customHeight="1" x14ac:dyDescent="0.2">
      <c r="A133" s="1" t="s">
        <v>490</v>
      </c>
      <c r="B133" s="1" t="s">
        <v>491</v>
      </c>
      <c r="C133" s="1" t="s">
        <v>491</v>
      </c>
      <c r="D133" s="2" t="s">
        <v>492</v>
      </c>
      <c r="E133" s="1" t="s">
        <v>493</v>
      </c>
      <c r="F133" s="1">
        <v>1</v>
      </c>
      <c r="G133" s="1" t="s">
        <v>811</v>
      </c>
      <c r="R133" s="1"/>
      <c r="S133" s="1"/>
      <c r="T133" s="1"/>
      <c r="U133" s="2"/>
      <c r="V133" s="1"/>
      <c r="W133" s="1"/>
      <c r="X133" s="1"/>
    </row>
    <row r="134" spans="1:24" ht="15.75" customHeight="1" x14ac:dyDescent="0.2">
      <c r="A134" s="1" t="s">
        <v>494</v>
      </c>
      <c r="B134" s="1" t="s">
        <v>495</v>
      </c>
      <c r="C134" s="1" t="s">
        <v>496</v>
      </c>
      <c r="D134" s="2" t="s">
        <v>495</v>
      </c>
      <c r="E134" s="1">
        <v>1</v>
      </c>
      <c r="F134" s="1">
        <v>1</v>
      </c>
      <c r="G134" s="1" t="s">
        <v>803</v>
      </c>
      <c r="R134" s="1"/>
      <c r="S134" s="1"/>
      <c r="T134" s="1"/>
      <c r="U134" s="2"/>
      <c r="V134" s="1"/>
      <c r="W134" s="1"/>
      <c r="X134" s="1"/>
    </row>
    <row r="135" spans="1:24" ht="15.75" customHeight="1" x14ac:dyDescent="0.2">
      <c r="A135" s="1" t="s">
        <v>497</v>
      </c>
      <c r="B135" s="1" t="s">
        <v>498</v>
      </c>
      <c r="C135" s="1" t="s">
        <v>498</v>
      </c>
      <c r="D135" s="2" t="s">
        <v>498</v>
      </c>
      <c r="E135" s="1">
        <v>1</v>
      </c>
      <c r="F135" s="1">
        <v>1</v>
      </c>
      <c r="G135" s="1" t="s">
        <v>811</v>
      </c>
      <c r="R135" s="1"/>
      <c r="S135" s="1"/>
      <c r="T135" s="1"/>
      <c r="U135" s="2"/>
      <c r="V135" s="1"/>
      <c r="W135" s="1"/>
      <c r="X135" s="1"/>
    </row>
    <row r="136" spans="1:24" ht="15.75" customHeight="1" x14ac:dyDescent="0.2">
      <c r="A136" s="1" t="s">
        <v>499</v>
      </c>
      <c r="B136" s="1" t="s">
        <v>500</v>
      </c>
      <c r="C136" s="1" t="s">
        <v>500</v>
      </c>
      <c r="D136" s="2" t="s">
        <v>500</v>
      </c>
      <c r="E136" s="1">
        <v>1</v>
      </c>
      <c r="F136" s="1">
        <v>1</v>
      </c>
      <c r="G136" s="1" t="s">
        <v>811</v>
      </c>
      <c r="R136" s="1"/>
      <c r="S136" s="1"/>
      <c r="T136" s="1"/>
      <c r="U136" s="2"/>
      <c r="V136" s="1"/>
      <c r="W136" s="1"/>
      <c r="X136" s="1"/>
    </row>
    <row r="137" spans="1:24" ht="15.75" customHeight="1" x14ac:dyDescent="0.2">
      <c r="A137" s="1" t="s">
        <v>501</v>
      </c>
      <c r="B137" s="1" t="s">
        <v>502</v>
      </c>
      <c r="C137" s="1" t="s">
        <v>502</v>
      </c>
      <c r="D137" s="2" t="s">
        <v>503</v>
      </c>
      <c r="E137" s="1">
        <v>1</v>
      </c>
      <c r="F137" s="1">
        <v>1</v>
      </c>
      <c r="G137" s="1" t="s">
        <v>811</v>
      </c>
      <c r="R137" s="1"/>
      <c r="S137" s="1"/>
      <c r="T137" s="1"/>
      <c r="U137" s="2"/>
      <c r="V137" s="1"/>
      <c r="W137" s="1"/>
      <c r="X137" s="1"/>
    </row>
    <row r="138" spans="1:24" ht="15.75" customHeight="1" x14ac:dyDescent="0.2">
      <c r="A138" s="1" t="s">
        <v>504</v>
      </c>
      <c r="B138" s="1" t="s">
        <v>505</v>
      </c>
      <c r="C138" s="1" t="s">
        <v>505</v>
      </c>
      <c r="D138" s="2" t="s">
        <v>505</v>
      </c>
      <c r="E138" s="1">
        <v>1</v>
      </c>
      <c r="F138" s="1">
        <v>1</v>
      </c>
      <c r="G138" s="1" t="s">
        <v>811</v>
      </c>
      <c r="R138" s="1"/>
      <c r="S138" s="1"/>
      <c r="T138" s="1"/>
      <c r="U138" s="2"/>
      <c r="V138" s="1"/>
      <c r="W138" s="1"/>
      <c r="X138" s="1"/>
    </row>
    <row r="139" spans="1:24" ht="15.75" customHeight="1" x14ac:dyDescent="0.2">
      <c r="A139" s="1" t="s">
        <v>506</v>
      </c>
      <c r="B139" s="1" t="s">
        <v>507</v>
      </c>
      <c r="C139" s="1" t="s">
        <v>507</v>
      </c>
      <c r="D139" s="2" t="s">
        <v>507</v>
      </c>
      <c r="E139" s="1">
        <v>1</v>
      </c>
      <c r="F139" s="1">
        <v>1</v>
      </c>
      <c r="G139" s="1" t="s">
        <v>811</v>
      </c>
      <c r="R139" s="1"/>
      <c r="S139" s="1"/>
      <c r="T139" s="1"/>
      <c r="U139" s="2"/>
      <c r="V139" s="1"/>
      <c r="W139" s="1"/>
      <c r="X139" s="1"/>
    </row>
    <row r="140" spans="1:24" ht="15.75" customHeight="1" x14ac:dyDescent="0.2">
      <c r="A140" s="1" t="s">
        <v>508</v>
      </c>
      <c r="B140" s="1" t="s">
        <v>509</v>
      </c>
      <c r="C140" s="1" t="s">
        <v>509</v>
      </c>
      <c r="D140" s="2" t="s">
        <v>509</v>
      </c>
      <c r="E140" s="1">
        <v>1</v>
      </c>
      <c r="F140" s="1">
        <v>1</v>
      </c>
      <c r="G140" s="1" t="s">
        <v>811</v>
      </c>
      <c r="R140" s="1"/>
      <c r="S140" s="1"/>
      <c r="T140" s="1"/>
      <c r="U140" s="2"/>
      <c r="V140" s="1"/>
      <c r="W140" s="1"/>
      <c r="X140" s="1"/>
    </row>
    <row r="141" spans="1:24" ht="15.75" customHeight="1" x14ac:dyDescent="0.2">
      <c r="A141" s="1" t="s">
        <v>510</v>
      </c>
      <c r="B141" s="1" t="s">
        <v>511</v>
      </c>
      <c r="C141" s="1" t="s">
        <v>511</v>
      </c>
      <c r="D141" s="2" t="s">
        <v>511</v>
      </c>
      <c r="E141" s="1">
        <v>1</v>
      </c>
      <c r="F141" s="1">
        <v>1</v>
      </c>
      <c r="G141" s="1" t="s">
        <v>811</v>
      </c>
      <c r="R141" s="1"/>
      <c r="S141" s="1"/>
      <c r="T141" s="1"/>
      <c r="U141" s="2"/>
      <c r="V141" s="1"/>
      <c r="W141" s="1"/>
      <c r="X141" s="1"/>
    </row>
    <row r="142" spans="1:24" ht="15.75" customHeight="1" x14ac:dyDescent="0.2">
      <c r="A142" s="1" t="s">
        <v>512</v>
      </c>
      <c r="B142" s="1" t="s">
        <v>513</v>
      </c>
      <c r="C142" s="1" t="s">
        <v>513</v>
      </c>
      <c r="D142" s="2" t="s">
        <v>513</v>
      </c>
      <c r="E142" s="1">
        <v>1</v>
      </c>
      <c r="F142" s="1">
        <v>1</v>
      </c>
      <c r="G142" s="1" t="s">
        <v>811</v>
      </c>
      <c r="R142" s="1"/>
      <c r="S142" s="1"/>
      <c r="T142" s="1"/>
      <c r="U142" s="2"/>
      <c r="V142" s="1"/>
      <c r="W142" s="1"/>
      <c r="X142" s="1"/>
    </row>
    <row r="143" spans="1:24" ht="15.75" customHeight="1" x14ac:dyDescent="0.2">
      <c r="A143" s="1" t="s">
        <v>514</v>
      </c>
      <c r="B143" s="1" t="s">
        <v>515</v>
      </c>
      <c r="C143" s="1" t="s">
        <v>515</v>
      </c>
      <c r="D143" s="2" t="s">
        <v>515</v>
      </c>
      <c r="E143" s="1">
        <v>1</v>
      </c>
      <c r="F143" s="1">
        <v>1</v>
      </c>
      <c r="G143" s="1" t="s">
        <v>811</v>
      </c>
      <c r="R143" s="1"/>
      <c r="S143" s="1"/>
      <c r="T143" s="1"/>
      <c r="U143" s="2"/>
      <c r="V143" s="1"/>
      <c r="W143" s="1"/>
      <c r="X143" s="1"/>
    </row>
    <row r="144" spans="1:24" ht="15.75" customHeight="1" x14ac:dyDescent="0.2">
      <c r="A144" s="1" t="s">
        <v>516</v>
      </c>
      <c r="B144" s="1" t="s">
        <v>517</v>
      </c>
      <c r="C144" s="1" t="s">
        <v>517</v>
      </c>
      <c r="D144" s="2" t="s">
        <v>517</v>
      </c>
      <c r="E144" s="1">
        <v>1</v>
      </c>
      <c r="F144" s="1">
        <v>1</v>
      </c>
      <c r="G144" s="1" t="s">
        <v>811</v>
      </c>
      <c r="R144" s="1"/>
      <c r="S144" s="1"/>
      <c r="T144" s="1"/>
      <c r="U144" s="2"/>
      <c r="V144" s="1"/>
      <c r="W144" s="1"/>
      <c r="X144" s="1"/>
    </row>
    <row r="145" spans="1:24" ht="15.75" customHeight="1" x14ac:dyDescent="0.2">
      <c r="A145" s="1" t="s">
        <v>518</v>
      </c>
      <c r="B145" s="1" t="s">
        <v>519</v>
      </c>
      <c r="C145" s="1" t="s">
        <v>519</v>
      </c>
      <c r="D145" s="2" t="s">
        <v>519</v>
      </c>
      <c r="E145" s="1">
        <v>1</v>
      </c>
      <c r="F145" s="1">
        <v>1</v>
      </c>
      <c r="G145" s="1" t="s">
        <v>811</v>
      </c>
      <c r="R145" s="1"/>
      <c r="S145" s="1"/>
      <c r="T145" s="1"/>
      <c r="U145" s="2"/>
      <c r="V145" s="1"/>
      <c r="W145" s="1"/>
      <c r="X145" s="1"/>
    </row>
    <row r="146" spans="1:24" ht="15.75" customHeight="1" x14ac:dyDescent="0.2">
      <c r="A146" s="1" t="s">
        <v>520</v>
      </c>
      <c r="B146" s="1" t="s">
        <v>521</v>
      </c>
      <c r="C146" s="1" t="s">
        <v>521</v>
      </c>
      <c r="D146" s="2" t="s">
        <v>521</v>
      </c>
      <c r="E146" s="1">
        <v>1</v>
      </c>
      <c r="F146" s="1">
        <v>1</v>
      </c>
      <c r="G146" s="1" t="s">
        <v>811</v>
      </c>
      <c r="R146" s="1"/>
      <c r="S146" s="1"/>
      <c r="T146" s="1"/>
      <c r="U146" s="2"/>
      <c r="V146" s="1"/>
      <c r="W146" s="1"/>
      <c r="X146" s="1"/>
    </row>
    <row r="147" spans="1:24" ht="15.75" customHeight="1" x14ac:dyDescent="0.2">
      <c r="A147" s="1" t="s">
        <v>522</v>
      </c>
      <c r="B147" s="1" t="s">
        <v>523</v>
      </c>
      <c r="C147" s="1" t="s">
        <v>523</v>
      </c>
      <c r="D147" s="2" t="s">
        <v>523</v>
      </c>
      <c r="E147" s="1">
        <v>1</v>
      </c>
      <c r="F147" s="1">
        <v>1</v>
      </c>
      <c r="G147" s="1" t="s">
        <v>811</v>
      </c>
      <c r="R147" s="1"/>
      <c r="S147" s="1"/>
      <c r="T147" s="1"/>
      <c r="U147" s="2"/>
      <c r="V147" s="1"/>
      <c r="W147" s="1"/>
      <c r="X147" s="1"/>
    </row>
    <row r="148" spans="1:24" ht="15.75" customHeight="1" x14ac:dyDescent="0.2">
      <c r="A148" s="1" t="s">
        <v>524</v>
      </c>
      <c r="B148" s="1" t="s">
        <v>525</v>
      </c>
      <c r="C148" s="1" t="s">
        <v>526</v>
      </c>
      <c r="D148" s="2" t="s">
        <v>525</v>
      </c>
      <c r="E148" s="1">
        <v>1</v>
      </c>
      <c r="F148" s="1">
        <v>1</v>
      </c>
      <c r="G148" s="1" t="s">
        <v>817</v>
      </c>
      <c r="R148" s="1"/>
      <c r="S148" s="1"/>
      <c r="T148" s="1"/>
      <c r="U148" s="2"/>
      <c r="V148" s="1"/>
      <c r="W148" s="1"/>
      <c r="X148" s="1"/>
    </row>
    <row r="149" spans="1:24" ht="15.75" customHeight="1" x14ac:dyDescent="0.2">
      <c r="A149" s="1" t="s">
        <v>527</v>
      </c>
      <c r="B149" s="1" t="s">
        <v>528</v>
      </c>
      <c r="C149" s="1" t="s">
        <v>528</v>
      </c>
      <c r="D149" s="2" t="s">
        <v>528</v>
      </c>
      <c r="E149" s="1">
        <v>1</v>
      </c>
      <c r="F149" s="1">
        <v>1</v>
      </c>
      <c r="G149" s="1" t="s">
        <v>811</v>
      </c>
      <c r="R149" s="1"/>
      <c r="S149" s="1"/>
      <c r="T149" s="1"/>
      <c r="U149" s="2"/>
      <c r="V149" s="1"/>
      <c r="W149" s="1"/>
      <c r="X149" s="1"/>
    </row>
    <row r="150" spans="1:24" ht="15.75" customHeight="1" x14ac:dyDescent="0.2">
      <c r="A150" s="1" t="s">
        <v>3</v>
      </c>
      <c r="B150" s="1" t="s">
        <v>4</v>
      </c>
      <c r="C150" s="1" t="s">
        <v>5</v>
      </c>
      <c r="D150" s="2" t="s">
        <v>4</v>
      </c>
      <c r="E150" s="1" t="s">
        <v>6</v>
      </c>
      <c r="F150" s="1" t="s">
        <v>6</v>
      </c>
      <c r="G150" s="1" t="s">
        <v>802</v>
      </c>
      <c r="R150" s="1"/>
      <c r="S150" s="1"/>
      <c r="T150" s="1"/>
      <c r="U150" s="2"/>
      <c r="V150" s="1"/>
      <c r="W150" s="1"/>
      <c r="X150" s="1"/>
    </row>
    <row r="151" spans="1:24" ht="15.75" customHeight="1" x14ac:dyDescent="0.2">
      <c r="A151" s="1" t="s">
        <v>7</v>
      </c>
      <c r="B151" s="1" t="s">
        <v>8</v>
      </c>
      <c r="C151" s="1" t="s">
        <v>9</v>
      </c>
      <c r="D151" s="2" t="s">
        <v>8</v>
      </c>
      <c r="E151" s="1" t="s">
        <v>6</v>
      </c>
      <c r="F151" s="1" t="s">
        <v>6</v>
      </c>
      <c r="G151" s="1" t="s">
        <v>803</v>
      </c>
      <c r="R151" s="1"/>
      <c r="S151" s="1"/>
      <c r="T151" s="1"/>
      <c r="U151" s="2"/>
      <c r="V151" s="1"/>
      <c r="W151" s="1"/>
      <c r="X151" s="1"/>
    </row>
    <row r="152" spans="1:24" ht="15.75" customHeight="1" x14ac:dyDescent="0.2">
      <c r="A152" s="1" t="s">
        <v>10</v>
      </c>
      <c r="B152" s="1" t="s">
        <v>11</v>
      </c>
      <c r="C152" s="1" t="s">
        <v>11</v>
      </c>
      <c r="D152" s="2" t="s">
        <v>11</v>
      </c>
      <c r="E152" s="1">
        <v>1</v>
      </c>
      <c r="F152" s="3">
        <v>1</v>
      </c>
      <c r="G152" s="1" t="s">
        <v>804</v>
      </c>
      <c r="R152" s="1"/>
      <c r="S152" s="1"/>
      <c r="T152" s="1"/>
      <c r="U152" s="2"/>
      <c r="V152" s="1"/>
      <c r="W152" s="3"/>
      <c r="X152" s="1"/>
    </row>
    <row r="153" spans="1:24" ht="15.75" customHeight="1" x14ac:dyDescent="0.2">
      <c r="A153" s="1" t="s">
        <v>12</v>
      </c>
      <c r="B153" s="1" t="s">
        <v>13</v>
      </c>
      <c r="C153" s="1" t="s">
        <v>13</v>
      </c>
      <c r="D153" s="2" t="s">
        <v>14</v>
      </c>
      <c r="E153" s="1" t="s">
        <v>15</v>
      </c>
      <c r="F153" s="3">
        <v>1</v>
      </c>
      <c r="G153" s="1" t="s">
        <v>804</v>
      </c>
      <c r="R153" s="1"/>
      <c r="S153" s="1"/>
      <c r="T153" s="1"/>
      <c r="U153" s="2"/>
      <c r="V153" s="1"/>
      <c r="W153" s="3"/>
      <c r="X153" s="1"/>
    </row>
    <row r="154" spans="1:24" ht="15.75" customHeight="1" x14ac:dyDescent="0.2">
      <c r="A154" s="1" t="s">
        <v>16</v>
      </c>
      <c r="B154" s="1" t="s">
        <v>17</v>
      </c>
      <c r="C154" s="1" t="s">
        <v>17</v>
      </c>
      <c r="D154" s="2" t="s">
        <v>17</v>
      </c>
      <c r="E154" s="1">
        <v>1</v>
      </c>
      <c r="F154" s="3">
        <v>1</v>
      </c>
      <c r="G154" s="1" t="s">
        <v>804</v>
      </c>
      <c r="R154" s="1"/>
      <c r="S154" s="1"/>
      <c r="T154" s="1"/>
      <c r="U154" s="2"/>
      <c r="V154" s="1"/>
      <c r="W154" s="3"/>
      <c r="X154" s="1"/>
    </row>
    <row r="155" spans="1:24" ht="15.75" customHeight="1" x14ac:dyDescent="0.2">
      <c r="A155" s="1" t="s">
        <v>18</v>
      </c>
      <c r="B155" s="1" t="s">
        <v>19</v>
      </c>
      <c r="C155" s="1" t="s">
        <v>19</v>
      </c>
      <c r="D155" s="2" t="s">
        <v>19</v>
      </c>
      <c r="E155" s="1">
        <v>1</v>
      </c>
      <c r="F155" s="3">
        <v>1</v>
      </c>
      <c r="G155" s="1" t="s">
        <v>804</v>
      </c>
      <c r="R155" s="1"/>
      <c r="S155" s="1"/>
      <c r="T155" s="1"/>
      <c r="U155" s="2"/>
      <c r="V155" s="1"/>
      <c r="W155" s="3"/>
      <c r="X155" s="1"/>
    </row>
    <row r="156" spans="1:24" ht="15.75" customHeight="1" x14ac:dyDescent="0.2">
      <c r="A156" s="1" t="s">
        <v>20</v>
      </c>
      <c r="B156" s="1" t="s">
        <v>21</v>
      </c>
      <c r="C156" s="1" t="s">
        <v>22</v>
      </c>
      <c r="D156" s="2" t="s">
        <v>21</v>
      </c>
      <c r="E156" s="1" t="s">
        <v>23</v>
      </c>
      <c r="F156" s="1" t="s">
        <v>23</v>
      </c>
      <c r="G156" s="1" t="s">
        <v>803</v>
      </c>
      <c r="R156" s="1"/>
      <c r="S156" s="1"/>
      <c r="T156" s="1"/>
      <c r="U156" s="2"/>
      <c r="V156" s="1"/>
      <c r="W156" s="1"/>
      <c r="X156" s="1"/>
    </row>
    <row r="157" spans="1:24" ht="15.75" customHeight="1" x14ac:dyDescent="0.2">
      <c r="A157" s="1" t="s">
        <v>24</v>
      </c>
      <c r="B157" s="1" t="s">
        <v>25</v>
      </c>
      <c r="C157" s="1" t="s">
        <v>25</v>
      </c>
      <c r="D157" s="2" t="s">
        <v>25</v>
      </c>
      <c r="E157" s="1">
        <v>1</v>
      </c>
      <c r="F157" s="3">
        <v>1</v>
      </c>
      <c r="G157" s="1" t="s">
        <v>804</v>
      </c>
      <c r="R157" s="1"/>
      <c r="S157" s="1"/>
      <c r="T157" s="1"/>
      <c r="U157" s="2"/>
      <c r="V157" s="1"/>
      <c r="W157" s="3"/>
      <c r="X157" s="1"/>
    </row>
    <row r="158" spans="1:24" ht="15.75" customHeight="1" x14ac:dyDescent="0.2">
      <c r="A158" s="1" t="s">
        <v>26</v>
      </c>
      <c r="B158" s="1" t="s">
        <v>27</v>
      </c>
      <c r="C158" s="1" t="s">
        <v>27</v>
      </c>
      <c r="D158" s="2" t="s">
        <v>27</v>
      </c>
      <c r="E158" s="1">
        <v>1</v>
      </c>
      <c r="F158" s="3">
        <v>1</v>
      </c>
      <c r="G158" s="1" t="s">
        <v>804</v>
      </c>
      <c r="R158" s="1"/>
      <c r="S158" s="1"/>
      <c r="T158" s="1"/>
      <c r="U158" s="2"/>
      <c r="V158" s="1"/>
      <c r="W158" s="3"/>
      <c r="X158" s="1"/>
    </row>
    <row r="159" spans="1:24" ht="15.75" customHeight="1" x14ac:dyDescent="0.2">
      <c r="A159" s="1" t="s">
        <v>28</v>
      </c>
      <c r="B159" s="1" t="s">
        <v>29</v>
      </c>
      <c r="C159" s="1" t="s">
        <v>29</v>
      </c>
      <c r="D159" s="2" t="s">
        <v>29</v>
      </c>
      <c r="E159" s="1">
        <v>1</v>
      </c>
      <c r="F159" s="3">
        <v>1</v>
      </c>
      <c r="G159" s="1" t="s">
        <v>804</v>
      </c>
      <c r="R159" s="1"/>
      <c r="S159" s="1"/>
      <c r="T159" s="1"/>
      <c r="U159" s="2"/>
      <c r="V159" s="1"/>
      <c r="W159" s="3"/>
      <c r="X159" s="1"/>
    </row>
    <row r="160" spans="1:24" ht="15.75" customHeight="1" x14ac:dyDescent="0.2">
      <c r="A160" s="1" t="s">
        <v>30</v>
      </c>
      <c r="B160" s="1" t="s">
        <v>31</v>
      </c>
      <c r="C160" s="1" t="s">
        <v>32</v>
      </c>
      <c r="D160" s="2" t="s">
        <v>33</v>
      </c>
      <c r="E160" s="1">
        <v>1</v>
      </c>
      <c r="F160" s="1" t="s">
        <v>6</v>
      </c>
      <c r="G160" s="1" t="s">
        <v>813</v>
      </c>
      <c r="R160" s="1"/>
      <c r="S160" s="1"/>
      <c r="T160" s="1"/>
      <c r="U160" s="2"/>
      <c r="V160" s="1"/>
      <c r="W160" s="1"/>
      <c r="X160" s="1"/>
    </row>
    <row r="161" spans="1:24" ht="15.75" customHeight="1" x14ac:dyDescent="0.2">
      <c r="A161" s="1" t="s">
        <v>34</v>
      </c>
      <c r="B161" s="1" t="s">
        <v>35</v>
      </c>
      <c r="C161" s="1" t="s">
        <v>35</v>
      </c>
      <c r="D161" s="2" t="s">
        <v>35</v>
      </c>
      <c r="E161" s="1">
        <v>1</v>
      </c>
      <c r="F161" s="3">
        <v>1</v>
      </c>
      <c r="G161" s="1" t="s">
        <v>804</v>
      </c>
      <c r="R161" s="1"/>
      <c r="S161" s="1"/>
      <c r="T161" s="1"/>
      <c r="U161" s="2"/>
      <c r="V161" s="1"/>
      <c r="W161" s="3"/>
      <c r="X161" s="1"/>
    </row>
    <row r="162" spans="1:24" ht="15.75" customHeight="1" x14ac:dyDescent="0.2">
      <c r="A162" s="1" t="s">
        <v>36</v>
      </c>
      <c r="B162" s="1" t="s">
        <v>37</v>
      </c>
      <c r="C162" s="1" t="s">
        <v>37</v>
      </c>
      <c r="D162" s="2" t="s">
        <v>37</v>
      </c>
      <c r="E162" s="1">
        <v>1</v>
      </c>
      <c r="F162" s="3">
        <v>1</v>
      </c>
      <c r="G162" s="1" t="s">
        <v>804</v>
      </c>
      <c r="R162" s="1"/>
      <c r="S162" s="1"/>
      <c r="T162" s="1"/>
      <c r="U162" s="2"/>
      <c r="V162" s="1"/>
      <c r="W162" s="3"/>
      <c r="X162" s="1"/>
    </row>
    <row r="163" spans="1:24" ht="15.75" customHeight="1" x14ac:dyDescent="0.2">
      <c r="A163" s="1" t="s">
        <v>38</v>
      </c>
      <c r="B163" s="1" t="s">
        <v>39</v>
      </c>
      <c r="C163" s="1" t="s">
        <v>39</v>
      </c>
      <c r="D163" s="2" t="s">
        <v>39</v>
      </c>
      <c r="E163" s="1">
        <v>1</v>
      </c>
      <c r="F163" s="3">
        <v>1</v>
      </c>
      <c r="G163" s="1" t="s">
        <v>804</v>
      </c>
      <c r="R163" s="1"/>
      <c r="S163" s="1"/>
      <c r="T163" s="1"/>
      <c r="U163" s="2"/>
      <c r="V163" s="1"/>
      <c r="W163" s="3"/>
      <c r="X163" s="1"/>
    </row>
    <row r="164" spans="1:24" ht="15.75" customHeight="1" x14ac:dyDescent="0.2">
      <c r="A164" s="1" t="s">
        <v>40</v>
      </c>
      <c r="B164" s="1" t="s">
        <v>41</v>
      </c>
      <c r="C164" s="1" t="s">
        <v>41</v>
      </c>
      <c r="D164" s="2" t="s">
        <v>41</v>
      </c>
      <c r="E164" s="1">
        <v>1</v>
      </c>
      <c r="F164" s="3">
        <v>1</v>
      </c>
      <c r="G164" s="1" t="s">
        <v>804</v>
      </c>
      <c r="R164" s="1"/>
      <c r="S164" s="1"/>
      <c r="T164" s="1"/>
      <c r="U164" s="2"/>
      <c r="V164" s="1"/>
      <c r="W164" s="3"/>
      <c r="X164" s="1"/>
    </row>
    <row r="165" spans="1:24" ht="15.75" customHeight="1" x14ac:dyDescent="0.2">
      <c r="A165" s="1" t="s">
        <v>42</v>
      </c>
      <c r="B165" s="1" t="s">
        <v>43</v>
      </c>
      <c r="C165" s="1" t="s">
        <v>43</v>
      </c>
      <c r="D165" s="2" t="s">
        <v>43</v>
      </c>
      <c r="E165" s="1">
        <v>1</v>
      </c>
      <c r="F165" s="3">
        <v>1</v>
      </c>
      <c r="G165" s="1" t="s">
        <v>804</v>
      </c>
      <c r="R165" s="1"/>
      <c r="S165" s="1"/>
      <c r="T165" s="1"/>
      <c r="U165" s="2"/>
      <c r="V165" s="1"/>
      <c r="W165" s="3"/>
      <c r="X165" s="1"/>
    </row>
    <row r="166" spans="1:24" ht="15.75" customHeight="1" x14ac:dyDescent="0.2">
      <c r="A166" s="1" t="s">
        <v>44</v>
      </c>
      <c r="B166" s="1" t="s">
        <v>45</v>
      </c>
      <c r="C166" s="1" t="s">
        <v>45</v>
      </c>
      <c r="D166" s="2" t="s">
        <v>45</v>
      </c>
      <c r="E166" s="1">
        <v>1</v>
      </c>
      <c r="F166" s="1">
        <v>1</v>
      </c>
      <c r="G166" s="1" t="s">
        <v>804</v>
      </c>
      <c r="R166" s="1"/>
      <c r="S166" s="1"/>
      <c r="T166" s="1"/>
      <c r="U166" s="2"/>
      <c r="V166" s="1"/>
      <c r="W166" s="1"/>
      <c r="X166" s="1"/>
    </row>
    <row r="167" spans="1:24" ht="15.75" customHeight="1" x14ac:dyDescent="0.2">
      <c r="A167" s="1" t="s">
        <v>46</v>
      </c>
      <c r="B167" s="1" t="s">
        <v>47</v>
      </c>
      <c r="C167" s="1" t="s">
        <v>47</v>
      </c>
      <c r="D167" s="2" t="s">
        <v>47</v>
      </c>
      <c r="E167" s="1">
        <v>1</v>
      </c>
      <c r="F167" s="1">
        <v>1</v>
      </c>
      <c r="G167" s="1" t="s">
        <v>804</v>
      </c>
      <c r="R167" s="1"/>
      <c r="S167" s="1"/>
      <c r="T167" s="1"/>
      <c r="U167" s="2"/>
      <c r="V167" s="1"/>
      <c r="W167" s="1"/>
      <c r="X167" s="1"/>
    </row>
    <row r="168" spans="1:24" ht="15.75" customHeight="1" x14ac:dyDescent="0.2">
      <c r="A168" s="1" t="s">
        <v>48</v>
      </c>
      <c r="B168" s="1" t="s">
        <v>49</v>
      </c>
      <c r="C168" s="1" t="s">
        <v>49</v>
      </c>
      <c r="D168" s="2" t="s">
        <v>49</v>
      </c>
      <c r="E168" s="1">
        <v>1</v>
      </c>
      <c r="F168" s="1">
        <v>1</v>
      </c>
      <c r="G168" s="1" t="s">
        <v>804</v>
      </c>
      <c r="R168" s="1"/>
      <c r="S168" s="1"/>
      <c r="T168" s="1"/>
      <c r="U168" s="2"/>
      <c r="V168" s="1"/>
      <c r="W168" s="1"/>
      <c r="X168" s="1"/>
    </row>
    <row r="169" spans="1:24" ht="15.75" customHeight="1" x14ac:dyDescent="0.2">
      <c r="A169" s="1" t="s">
        <v>50</v>
      </c>
      <c r="B169" s="1" t="s">
        <v>51</v>
      </c>
      <c r="C169" s="1" t="s">
        <v>51</v>
      </c>
      <c r="D169" s="2" t="s">
        <v>51</v>
      </c>
      <c r="E169" s="1">
        <v>1</v>
      </c>
      <c r="F169" s="1">
        <v>1</v>
      </c>
      <c r="G169" s="1" t="s">
        <v>804</v>
      </c>
      <c r="R169" s="1"/>
      <c r="S169" s="1"/>
      <c r="T169" s="1"/>
      <c r="U169" s="2"/>
      <c r="V169" s="1"/>
      <c r="W169" s="1"/>
      <c r="X169" s="1"/>
    </row>
    <row r="170" spans="1:24" ht="15.75" customHeight="1" x14ac:dyDescent="0.2">
      <c r="A170" s="1" t="s">
        <v>52</v>
      </c>
      <c r="B170" s="1" t="s">
        <v>53</v>
      </c>
      <c r="C170" s="1" t="s">
        <v>53</v>
      </c>
      <c r="D170" s="2" t="s">
        <v>53</v>
      </c>
      <c r="E170" s="1">
        <v>1</v>
      </c>
      <c r="F170" s="1">
        <v>1</v>
      </c>
      <c r="G170" s="1" t="s">
        <v>804</v>
      </c>
      <c r="R170" s="1"/>
      <c r="S170" s="1"/>
      <c r="T170" s="1"/>
      <c r="U170" s="2"/>
      <c r="V170" s="1"/>
      <c r="W170" s="1"/>
      <c r="X170" s="1"/>
    </row>
    <row r="171" spans="1:24" ht="15.75" customHeight="1" x14ac:dyDescent="0.2">
      <c r="A171" s="1" t="s">
        <v>54</v>
      </c>
      <c r="B171" s="1" t="s">
        <v>55</v>
      </c>
      <c r="C171" s="1" t="s">
        <v>55</v>
      </c>
      <c r="D171" s="2" t="s">
        <v>55</v>
      </c>
      <c r="E171" s="1">
        <v>1</v>
      </c>
      <c r="F171" s="1">
        <v>1</v>
      </c>
      <c r="G171" s="1" t="s">
        <v>804</v>
      </c>
      <c r="R171" s="1"/>
      <c r="S171" s="1"/>
      <c r="T171" s="1"/>
      <c r="U171" s="2"/>
      <c r="V171" s="1"/>
      <c r="W171" s="1"/>
      <c r="X171" s="1"/>
    </row>
    <row r="172" spans="1:24" ht="15.75" customHeight="1" x14ac:dyDescent="0.2">
      <c r="A172" s="1" t="s">
        <v>56</v>
      </c>
      <c r="B172" s="1" t="s">
        <v>57</v>
      </c>
      <c r="C172" s="1" t="s">
        <v>57</v>
      </c>
      <c r="D172" s="2" t="s">
        <v>57</v>
      </c>
      <c r="E172" s="1">
        <v>1</v>
      </c>
      <c r="F172" s="1">
        <v>1</v>
      </c>
      <c r="G172" s="1" t="s">
        <v>804</v>
      </c>
      <c r="R172" s="1"/>
      <c r="S172" s="1"/>
      <c r="T172" s="1"/>
      <c r="U172" s="2"/>
      <c r="V172" s="1"/>
      <c r="W172" s="1"/>
      <c r="X172" s="1"/>
    </row>
    <row r="173" spans="1:24" ht="15.75" customHeight="1" x14ac:dyDescent="0.2">
      <c r="A173" s="1" t="s">
        <v>58</v>
      </c>
      <c r="B173" s="1" t="s">
        <v>59</v>
      </c>
      <c r="C173" s="1" t="s">
        <v>60</v>
      </c>
      <c r="D173" s="2" t="s">
        <v>59</v>
      </c>
      <c r="E173" s="1" t="s">
        <v>23</v>
      </c>
      <c r="F173" s="1" t="s">
        <v>23</v>
      </c>
      <c r="G173" s="1" t="s">
        <v>807</v>
      </c>
      <c r="R173" s="1"/>
      <c r="S173" s="1"/>
      <c r="T173" s="1"/>
      <c r="U173" s="2"/>
      <c r="V173" s="1"/>
      <c r="W173" s="1"/>
      <c r="X173" s="1"/>
    </row>
    <row r="174" spans="1:24" ht="15.75" customHeight="1" x14ac:dyDescent="0.2">
      <c r="A174" s="1" t="s">
        <v>61</v>
      </c>
      <c r="B174" s="1" t="s">
        <v>62</v>
      </c>
      <c r="C174" s="1" t="s">
        <v>63</v>
      </c>
      <c r="D174" s="2" t="s">
        <v>62</v>
      </c>
      <c r="E174" s="1" t="s">
        <v>15</v>
      </c>
      <c r="F174" s="1" t="s">
        <v>15</v>
      </c>
      <c r="G174" s="1" t="s">
        <v>803</v>
      </c>
      <c r="R174" s="1"/>
      <c r="S174" s="1"/>
      <c r="T174" s="1"/>
      <c r="U174" s="2"/>
      <c r="V174" s="1"/>
      <c r="W174" s="1"/>
      <c r="X174" s="1"/>
    </row>
    <row r="175" spans="1:24" ht="15.75" customHeight="1" x14ac:dyDescent="0.2">
      <c r="A175" s="1" t="s">
        <v>64</v>
      </c>
      <c r="B175" s="1" t="s">
        <v>65</v>
      </c>
      <c r="C175" s="1" t="s">
        <v>66</v>
      </c>
      <c r="D175" s="2" t="s">
        <v>65</v>
      </c>
      <c r="E175" s="1" t="s">
        <v>23</v>
      </c>
      <c r="F175" s="1" t="s">
        <v>23</v>
      </c>
      <c r="G175" s="1" t="s">
        <v>803</v>
      </c>
      <c r="R175" s="1"/>
      <c r="S175" s="1"/>
      <c r="T175" s="1"/>
      <c r="U175" s="2"/>
      <c r="V175" s="1"/>
      <c r="W175" s="1"/>
      <c r="X175" s="1"/>
    </row>
    <row r="176" spans="1:24" ht="15.75" customHeight="1" x14ac:dyDescent="0.2">
      <c r="A176" s="1" t="s">
        <v>67</v>
      </c>
      <c r="B176" s="1" t="s">
        <v>68</v>
      </c>
      <c r="C176" s="1" t="s">
        <v>69</v>
      </c>
      <c r="D176" s="2" t="s">
        <v>68</v>
      </c>
      <c r="E176" s="1" t="s">
        <v>23</v>
      </c>
      <c r="F176" s="1" t="s">
        <v>23</v>
      </c>
      <c r="G176" s="1" t="s">
        <v>803</v>
      </c>
      <c r="R176" s="1"/>
      <c r="S176" s="1"/>
      <c r="T176" s="1"/>
      <c r="U176" s="2"/>
      <c r="V176" s="1"/>
      <c r="W176" s="1"/>
      <c r="X176" s="1"/>
    </row>
    <row r="177" spans="1:24" ht="15.75" customHeight="1" x14ac:dyDescent="0.2">
      <c r="A177" s="1" t="s">
        <v>70</v>
      </c>
      <c r="B177" s="1" t="s">
        <v>71</v>
      </c>
      <c r="C177" s="1" t="s">
        <v>72</v>
      </c>
      <c r="D177" s="2" t="s">
        <v>71</v>
      </c>
      <c r="E177" s="1" t="s">
        <v>15</v>
      </c>
      <c r="F177" s="1" t="s">
        <v>15</v>
      </c>
      <c r="G177" s="1" t="s">
        <v>803</v>
      </c>
      <c r="R177" s="1"/>
      <c r="S177" s="1"/>
      <c r="T177" s="1"/>
      <c r="U177" s="2"/>
      <c r="V177" s="1"/>
      <c r="W177" s="1"/>
      <c r="X177" s="1"/>
    </row>
    <row r="178" spans="1:24" ht="15.75" customHeight="1" x14ac:dyDescent="0.2">
      <c r="A178" s="1" t="s">
        <v>73</v>
      </c>
      <c r="B178" s="1" t="s">
        <v>74</v>
      </c>
      <c r="C178" s="1" t="s">
        <v>74</v>
      </c>
      <c r="D178" s="2" t="s">
        <v>74</v>
      </c>
      <c r="E178" s="1">
        <v>1</v>
      </c>
      <c r="F178" s="1">
        <v>1</v>
      </c>
      <c r="G178" s="1" t="s">
        <v>804</v>
      </c>
      <c r="R178" s="1"/>
      <c r="S178" s="1"/>
      <c r="T178" s="1"/>
      <c r="U178" s="2"/>
      <c r="V178" s="1"/>
      <c r="W178" s="1"/>
      <c r="X178" s="1"/>
    </row>
    <row r="179" spans="1:24" ht="15.75" customHeight="1" x14ac:dyDescent="0.2">
      <c r="A179" s="1" t="s">
        <v>75</v>
      </c>
      <c r="B179" s="1" t="s">
        <v>76</v>
      </c>
      <c r="C179" s="1" t="s">
        <v>76</v>
      </c>
      <c r="D179" s="2" t="s">
        <v>76</v>
      </c>
      <c r="E179" s="1">
        <v>1</v>
      </c>
      <c r="F179" s="1">
        <v>1</v>
      </c>
      <c r="G179" s="1" t="s">
        <v>804</v>
      </c>
      <c r="R179" s="1"/>
      <c r="S179" s="1"/>
      <c r="T179" s="1"/>
      <c r="U179" s="2"/>
      <c r="V179" s="1"/>
      <c r="W179" s="1"/>
      <c r="X179" s="1"/>
    </row>
    <row r="180" spans="1:24" ht="15.75" customHeight="1" x14ac:dyDescent="0.2">
      <c r="A180" s="1" t="s">
        <v>77</v>
      </c>
      <c r="B180" s="1" t="s">
        <v>78</v>
      </c>
      <c r="C180" s="1" t="s">
        <v>79</v>
      </c>
      <c r="D180" s="2" t="s">
        <v>78</v>
      </c>
      <c r="E180" s="1" t="s">
        <v>15</v>
      </c>
      <c r="F180" s="1" t="s">
        <v>15</v>
      </c>
      <c r="G180" s="1" t="s">
        <v>803</v>
      </c>
      <c r="R180" s="1"/>
      <c r="S180" s="1"/>
      <c r="T180" s="1"/>
      <c r="U180" s="2"/>
      <c r="V180" s="1"/>
      <c r="W180" s="1"/>
      <c r="X180" s="1"/>
    </row>
    <row r="181" spans="1:24" ht="15.75" customHeight="1" x14ac:dyDescent="0.2">
      <c r="A181" s="1" t="s">
        <v>80</v>
      </c>
      <c r="B181" s="1" t="s">
        <v>81</v>
      </c>
      <c r="C181" s="1" t="s">
        <v>81</v>
      </c>
      <c r="D181" s="2" t="s">
        <v>81</v>
      </c>
      <c r="E181" s="1">
        <v>1</v>
      </c>
      <c r="F181" s="1">
        <v>1</v>
      </c>
      <c r="G181" s="1" t="s">
        <v>804</v>
      </c>
      <c r="R181" s="1"/>
      <c r="S181" s="1"/>
      <c r="T181" s="1"/>
      <c r="U181" s="2"/>
      <c r="V181" s="1"/>
      <c r="W181" s="1"/>
      <c r="X181" s="1"/>
    </row>
    <row r="182" spans="1:24" ht="15.75" customHeight="1" x14ac:dyDescent="0.2">
      <c r="A182" s="1" t="s">
        <v>82</v>
      </c>
      <c r="B182" s="1" t="s">
        <v>83</v>
      </c>
      <c r="C182" s="1" t="s">
        <v>84</v>
      </c>
      <c r="D182" s="2" t="s">
        <v>83</v>
      </c>
      <c r="E182" s="1" t="s">
        <v>23</v>
      </c>
      <c r="F182" s="1" t="s">
        <v>23</v>
      </c>
      <c r="G182" s="1" t="s">
        <v>812</v>
      </c>
      <c r="R182" s="1"/>
      <c r="S182" s="1"/>
      <c r="T182" s="1"/>
      <c r="U182" s="2"/>
      <c r="V182" s="1"/>
      <c r="W182" s="1"/>
      <c r="X182" s="1"/>
    </row>
    <row r="183" spans="1:24" ht="15.75" customHeight="1" x14ac:dyDescent="0.2">
      <c r="A183" s="1" t="s">
        <v>85</v>
      </c>
      <c r="B183" s="1" t="s">
        <v>86</v>
      </c>
      <c r="C183" s="1" t="s">
        <v>86</v>
      </c>
      <c r="D183" s="2" t="s">
        <v>86</v>
      </c>
      <c r="E183" s="1">
        <v>1</v>
      </c>
      <c r="F183" s="1">
        <v>1</v>
      </c>
      <c r="G183" s="1" t="s">
        <v>804</v>
      </c>
      <c r="R183" s="1"/>
      <c r="S183" s="1"/>
      <c r="T183" s="1"/>
      <c r="U183" s="2"/>
      <c r="V183" s="1"/>
      <c r="W183" s="1"/>
      <c r="X183" s="1"/>
    </row>
    <row r="184" spans="1:24" ht="15.75" customHeight="1" x14ac:dyDescent="0.2">
      <c r="A184" s="1" t="s">
        <v>87</v>
      </c>
      <c r="B184" s="1" t="s">
        <v>88</v>
      </c>
      <c r="C184" s="1" t="s">
        <v>88</v>
      </c>
      <c r="D184" s="2" t="s">
        <v>88</v>
      </c>
      <c r="E184" s="1">
        <v>1</v>
      </c>
      <c r="F184" s="1">
        <v>1</v>
      </c>
      <c r="G184" s="1" t="s">
        <v>804</v>
      </c>
      <c r="R184" s="1"/>
      <c r="S184" s="1"/>
      <c r="T184" s="1"/>
      <c r="U184" s="2"/>
      <c r="V184" s="1"/>
      <c r="W184" s="1"/>
      <c r="X184" s="1"/>
    </row>
    <row r="185" spans="1:24" ht="15.75" customHeight="1" x14ac:dyDescent="0.2">
      <c r="A185" s="1" t="s">
        <v>89</v>
      </c>
      <c r="B185" s="1" t="s">
        <v>90</v>
      </c>
      <c r="C185" s="1" t="s">
        <v>91</v>
      </c>
      <c r="D185" s="2" t="s">
        <v>91</v>
      </c>
      <c r="E185" s="1">
        <v>1</v>
      </c>
      <c r="F185" s="1" t="s">
        <v>15</v>
      </c>
      <c r="G185" s="1" t="s">
        <v>803</v>
      </c>
      <c r="R185" s="1"/>
      <c r="S185" s="1"/>
      <c r="T185" s="1"/>
      <c r="U185" s="2"/>
      <c r="V185" s="1"/>
      <c r="W185" s="1"/>
      <c r="X185" s="1"/>
    </row>
    <row r="186" spans="1:24" ht="15.75" customHeight="1" x14ac:dyDescent="0.2">
      <c r="A186" s="1" t="s">
        <v>92</v>
      </c>
      <c r="B186" s="1" t="s">
        <v>93</v>
      </c>
      <c r="C186" s="1" t="s">
        <v>93</v>
      </c>
      <c r="D186" s="2" t="s">
        <v>94</v>
      </c>
      <c r="E186" s="1">
        <v>1</v>
      </c>
      <c r="F186" s="1">
        <v>1</v>
      </c>
      <c r="G186" s="1" t="s">
        <v>804</v>
      </c>
      <c r="R186" s="1"/>
      <c r="S186" s="1"/>
      <c r="T186" s="1"/>
      <c r="U186" s="2"/>
      <c r="V186" s="1"/>
      <c r="W186" s="1"/>
      <c r="X186" s="1"/>
    </row>
    <row r="187" spans="1:24" ht="15.75" customHeight="1" x14ac:dyDescent="0.2">
      <c r="A187" s="1" t="s">
        <v>95</v>
      </c>
      <c r="B187" s="1" t="s">
        <v>96</v>
      </c>
      <c r="C187" s="1" t="s">
        <v>96</v>
      </c>
      <c r="D187" s="2" t="s">
        <v>96</v>
      </c>
      <c r="E187" s="1">
        <v>1</v>
      </c>
      <c r="F187" s="1">
        <v>1</v>
      </c>
      <c r="G187" s="1" t="s">
        <v>804</v>
      </c>
      <c r="R187" s="1"/>
      <c r="S187" s="1"/>
      <c r="T187" s="1"/>
      <c r="U187" s="2"/>
      <c r="V187" s="1"/>
      <c r="W187" s="1"/>
      <c r="X187" s="1"/>
    </row>
    <row r="188" spans="1:24" ht="15.75" customHeight="1" x14ac:dyDescent="0.2">
      <c r="A188" s="1" t="s">
        <v>97</v>
      </c>
      <c r="B188" s="1" t="s">
        <v>98</v>
      </c>
      <c r="C188" s="1" t="s">
        <v>99</v>
      </c>
      <c r="D188" s="2" t="s">
        <v>98</v>
      </c>
      <c r="E188" s="1" t="s">
        <v>23</v>
      </c>
      <c r="F188" s="1" t="s">
        <v>23</v>
      </c>
      <c r="G188" s="1" t="s">
        <v>803</v>
      </c>
      <c r="R188" s="1"/>
      <c r="S188" s="1"/>
      <c r="T188" s="1"/>
      <c r="U188" s="2"/>
      <c r="V188" s="1"/>
      <c r="W188" s="1"/>
      <c r="X188" s="1"/>
    </row>
    <row r="189" spans="1:24" ht="15.75" customHeight="1" x14ac:dyDescent="0.2">
      <c r="A189" s="1" t="s">
        <v>100</v>
      </c>
      <c r="B189" s="1" t="s">
        <v>101</v>
      </c>
      <c r="C189" s="1" t="s">
        <v>101</v>
      </c>
      <c r="D189" s="2" t="s">
        <v>101</v>
      </c>
      <c r="E189" s="1">
        <v>1</v>
      </c>
      <c r="F189" s="1">
        <v>1</v>
      </c>
      <c r="G189" s="1" t="s">
        <v>804</v>
      </c>
      <c r="R189" s="1"/>
      <c r="S189" s="1"/>
      <c r="T189" s="1"/>
      <c r="U189" s="2"/>
      <c r="V189" s="1"/>
      <c r="W189" s="1"/>
      <c r="X189" s="1"/>
    </row>
    <row r="190" spans="1:24" ht="15.75" customHeight="1" x14ac:dyDescent="0.2">
      <c r="A190" s="1" t="s">
        <v>102</v>
      </c>
      <c r="B190" s="1" t="s">
        <v>103</v>
      </c>
      <c r="C190" s="1" t="s">
        <v>103</v>
      </c>
      <c r="D190" s="2" t="s">
        <v>103</v>
      </c>
      <c r="E190" s="1">
        <v>1</v>
      </c>
      <c r="F190" s="1">
        <v>1</v>
      </c>
      <c r="G190" s="1" t="s">
        <v>804</v>
      </c>
      <c r="R190" s="1"/>
      <c r="S190" s="1"/>
      <c r="T190" s="1"/>
      <c r="U190" s="2"/>
      <c r="V190" s="1"/>
      <c r="W190" s="1"/>
      <c r="X190" s="1"/>
    </row>
    <row r="191" spans="1:24" ht="15.75" customHeight="1" x14ac:dyDescent="0.2">
      <c r="A191" s="1" t="s">
        <v>104</v>
      </c>
      <c r="B191" s="1" t="s">
        <v>105</v>
      </c>
      <c r="C191" s="1" t="s">
        <v>106</v>
      </c>
      <c r="D191" s="2" t="s">
        <v>105</v>
      </c>
      <c r="E191" s="1">
        <v>1</v>
      </c>
      <c r="F191" s="1">
        <v>1</v>
      </c>
      <c r="G191" s="1" t="s">
        <v>802</v>
      </c>
      <c r="R191" s="1"/>
      <c r="S191" s="1"/>
      <c r="T191" s="1"/>
      <c r="U191" s="2"/>
      <c r="V191" s="1"/>
      <c r="W191" s="1"/>
      <c r="X191" s="1"/>
    </row>
    <row r="192" spans="1:24" ht="15.75" customHeight="1" x14ac:dyDescent="0.2">
      <c r="A192" s="1" t="s">
        <v>107</v>
      </c>
      <c r="B192" s="1" t="s">
        <v>108</v>
      </c>
      <c r="C192" s="1" t="s">
        <v>108</v>
      </c>
      <c r="D192" s="2" t="s">
        <v>108</v>
      </c>
      <c r="E192" s="1">
        <v>1</v>
      </c>
      <c r="F192" s="1">
        <v>1</v>
      </c>
      <c r="G192" s="1" t="s">
        <v>804</v>
      </c>
      <c r="R192" s="1"/>
      <c r="S192" s="1"/>
      <c r="T192" s="1"/>
      <c r="U192" s="2"/>
      <c r="V192" s="1"/>
      <c r="W192" s="1"/>
      <c r="X192" s="1"/>
    </row>
    <row r="193" spans="1:24" ht="15.75" customHeight="1" x14ac:dyDescent="0.2">
      <c r="A193" s="1" t="s">
        <v>109</v>
      </c>
      <c r="B193" s="1" t="s">
        <v>110</v>
      </c>
      <c r="C193" s="1" t="s">
        <v>110</v>
      </c>
      <c r="D193" s="2" t="s">
        <v>111</v>
      </c>
      <c r="E193" s="1">
        <v>1</v>
      </c>
      <c r="F193" s="1">
        <v>1</v>
      </c>
      <c r="G193" s="1" t="s">
        <v>804</v>
      </c>
      <c r="R193" s="1"/>
      <c r="S193" s="1"/>
      <c r="T193" s="1"/>
      <c r="U193" s="2"/>
      <c r="V193" s="1"/>
      <c r="W193" s="1"/>
      <c r="X193" s="1"/>
    </row>
    <row r="194" spans="1:24" ht="15.75" customHeight="1" x14ac:dyDescent="0.2">
      <c r="A194" s="1" t="s">
        <v>112</v>
      </c>
      <c r="B194" s="1" t="s">
        <v>113</v>
      </c>
      <c r="C194" s="1" t="s">
        <v>113</v>
      </c>
      <c r="D194" s="2" t="s">
        <v>113</v>
      </c>
      <c r="E194" s="1">
        <v>1</v>
      </c>
      <c r="F194" s="1">
        <v>1</v>
      </c>
      <c r="G194" s="1" t="s">
        <v>804</v>
      </c>
      <c r="R194" s="1"/>
      <c r="S194" s="1"/>
      <c r="T194" s="1"/>
      <c r="U194" s="2"/>
      <c r="V194" s="1"/>
      <c r="W194" s="1"/>
      <c r="X194" s="1"/>
    </row>
    <row r="195" spans="1:24" ht="15.75" customHeight="1" x14ac:dyDescent="0.2">
      <c r="A195" s="1" t="s">
        <v>114</v>
      </c>
      <c r="B195" s="1" t="s">
        <v>115</v>
      </c>
      <c r="C195" s="1" t="s">
        <v>115</v>
      </c>
      <c r="D195" s="2" t="s">
        <v>115</v>
      </c>
      <c r="E195" s="1">
        <v>1</v>
      </c>
      <c r="F195" s="1">
        <v>1</v>
      </c>
      <c r="G195" s="1" t="s">
        <v>804</v>
      </c>
      <c r="R195" s="1"/>
      <c r="S195" s="1"/>
      <c r="T195" s="1"/>
      <c r="U195" s="2"/>
      <c r="V195" s="1"/>
      <c r="W195" s="1"/>
      <c r="X195" s="1"/>
    </row>
    <row r="196" spans="1:24" ht="15.75" customHeight="1" x14ac:dyDescent="0.2">
      <c r="A196" s="1" t="s">
        <v>116</v>
      </c>
      <c r="B196" s="1" t="s">
        <v>117</v>
      </c>
      <c r="C196" s="1" t="s">
        <v>117</v>
      </c>
      <c r="D196" s="2" t="s">
        <v>117</v>
      </c>
      <c r="E196" s="1">
        <v>1</v>
      </c>
      <c r="F196" s="1">
        <v>1</v>
      </c>
      <c r="G196" s="1" t="s">
        <v>804</v>
      </c>
      <c r="R196" s="1"/>
      <c r="S196" s="1"/>
      <c r="T196" s="1"/>
      <c r="U196" s="2"/>
      <c r="V196" s="1"/>
      <c r="W196" s="1"/>
      <c r="X196" s="1"/>
    </row>
    <row r="197" spans="1:24" ht="15.75" customHeight="1" x14ac:dyDescent="0.2">
      <c r="A197" s="1" t="s">
        <v>118</v>
      </c>
      <c r="B197" s="1" t="s">
        <v>119</v>
      </c>
      <c r="C197" s="1" t="s">
        <v>120</v>
      </c>
      <c r="D197" s="2" t="s">
        <v>119</v>
      </c>
      <c r="E197" s="1" t="s">
        <v>15</v>
      </c>
      <c r="F197" s="1" t="s">
        <v>15</v>
      </c>
      <c r="G197" s="1" t="s">
        <v>802</v>
      </c>
      <c r="R197" s="1"/>
      <c r="S197" s="1"/>
      <c r="T197" s="1"/>
      <c r="U197" s="2"/>
      <c r="V197" s="1"/>
      <c r="W197" s="1"/>
      <c r="X197" s="1"/>
    </row>
    <row r="198" spans="1:24" ht="15.75" customHeight="1" x14ac:dyDescent="0.2">
      <c r="A198" s="1" t="s">
        <v>121</v>
      </c>
      <c r="B198" s="1" t="s">
        <v>122</v>
      </c>
      <c r="C198" s="1" t="s">
        <v>122</v>
      </c>
      <c r="D198" s="2" t="s">
        <v>122</v>
      </c>
      <c r="E198" s="1">
        <v>1</v>
      </c>
      <c r="F198" s="1">
        <v>1</v>
      </c>
      <c r="G198" s="1" t="s">
        <v>804</v>
      </c>
      <c r="R198" s="1"/>
      <c r="S198" s="1"/>
      <c r="T198" s="1"/>
      <c r="U198" s="2"/>
      <c r="V198" s="1"/>
      <c r="W198" s="1"/>
      <c r="X198" s="1"/>
    </row>
    <row r="199" spans="1:24" ht="15.75" customHeight="1" x14ac:dyDescent="0.2">
      <c r="A199" s="1" t="s">
        <v>123</v>
      </c>
      <c r="B199" s="1" t="s">
        <v>124</v>
      </c>
      <c r="C199" s="1" t="s">
        <v>124</v>
      </c>
      <c r="D199" s="2" t="s">
        <v>124</v>
      </c>
      <c r="E199" s="1">
        <v>1</v>
      </c>
      <c r="F199" s="1">
        <v>1</v>
      </c>
      <c r="G199" s="1" t="s">
        <v>804</v>
      </c>
      <c r="R199" s="1"/>
      <c r="S199" s="1"/>
      <c r="T199" s="1"/>
      <c r="U199" s="2"/>
      <c r="V199" s="1"/>
      <c r="W199" s="1"/>
      <c r="X199" s="1"/>
    </row>
    <row r="200" spans="1:24" ht="15.75" customHeight="1" x14ac:dyDescent="0.2">
      <c r="A200" s="1" t="s">
        <v>259</v>
      </c>
      <c r="B200" s="1" t="s">
        <v>260</v>
      </c>
      <c r="C200" s="1" t="s">
        <v>260</v>
      </c>
      <c r="D200" s="2" t="s">
        <v>261</v>
      </c>
      <c r="E200" s="1">
        <v>1</v>
      </c>
      <c r="F200" s="1">
        <v>1</v>
      </c>
      <c r="G200" s="1" t="s">
        <v>804</v>
      </c>
      <c r="R200" s="1"/>
      <c r="S200" s="1"/>
      <c r="T200" s="1"/>
      <c r="U200" s="2"/>
      <c r="V200" s="1"/>
      <c r="W200" s="1"/>
      <c r="X200" s="1"/>
    </row>
    <row r="201" spans="1:24" ht="15.75" customHeight="1" x14ac:dyDescent="0.2">
      <c r="A201" s="1" t="s">
        <v>262</v>
      </c>
      <c r="B201" s="1" t="s">
        <v>263</v>
      </c>
      <c r="C201" s="1" t="s">
        <v>263</v>
      </c>
      <c r="D201" s="2" t="s">
        <v>264</v>
      </c>
      <c r="E201" s="1">
        <v>1</v>
      </c>
      <c r="F201" s="1">
        <v>1</v>
      </c>
      <c r="G201" s="1" t="s">
        <v>804</v>
      </c>
      <c r="R201" s="1"/>
      <c r="S201" s="1"/>
      <c r="T201" s="1"/>
      <c r="U201" s="2"/>
      <c r="V201" s="1"/>
      <c r="W201" s="1"/>
      <c r="X201" s="1"/>
    </row>
    <row r="202" spans="1:24" ht="15.75" customHeight="1" x14ac:dyDescent="0.2">
      <c r="A202" s="1" t="s">
        <v>265</v>
      </c>
      <c r="B202" s="1" t="s">
        <v>266</v>
      </c>
      <c r="C202" s="1" t="s">
        <v>266</v>
      </c>
      <c r="D202" s="2" t="s">
        <v>267</v>
      </c>
      <c r="E202" s="1">
        <v>1</v>
      </c>
      <c r="F202" s="1">
        <v>1</v>
      </c>
      <c r="G202" s="1" t="s">
        <v>804</v>
      </c>
      <c r="R202" s="1"/>
      <c r="S202" s="1"/>
      <c r="T202" s="1"/>
      <c r="U202" s="2"/>
      <c r="V202" s="1"/>
      <c r="W202" s="1"/>
      <c r="X202" s="1"/>
    </row>
    <row r="203" spans="1:24" ht="15.75" customHeight="1" x14ac:dyDescent="0.2">
      <c r="A203" s="1" t="s">
        <v>268</v>
      </c>
      <c r="B203" s="1" t="s">
        <v>269</v>
      </c>
      <c r="C203" s="1" t="s">
        <v>269</v>
      </c>
      <c r="D203" s="2" t="s">
        <v>269</v>
      </c>
      <c r="E203" s="1">
        <v>1</v>
      </c>
      <c r="F203" s="1">
        <v>1</v>
      </c>
      <c r="G203" s="1" t="s">
        <v>804</v>
      </c>
      <c r="R203" s="1"/>
      <c r="S203" s="1"/>
      <c r="T203" s="1"/>
      <c r="U203" s="2"/>
      <c r="V203" s="1"/>
      <c r="W203" s="1"/>
      <c r="X203" s="1"/>
    </row>
    <row r="204" spans="1:24" ht="15.75" customHeight="1" x14ac:dyDescent="0.2">
      <c r="A204" s="1" t="s">
        <v>270</v>
      </c>
      <c r="B204" s="1" t="s">
        <v>271</v>
      </c>
      <c r="C204" s="1" t="s">
        <v>271</v>
      </c>
      <c r="D204" s="2" t="s">
        <v>271</v>
      </c>
      <c r="E204" s="1">
        <v>1</v>
      </c>
      <c r="F204" s="1">
        <v>1</v>
      </c>
      <c r="G204" s="1" t="s">
        <v>804</v>
      </c>
      <c r="R204" s="1"/>
      <c r="S204" s="1"/>
      <c r="T204" s="1"/>
      <c r="U204" s="2"/>
      <c r="V204" s="1"/>
      <c r="W204" s="1"/>
      <c r="X204" s="1"/>
    </row>
    <row r="205" spans="1:24" ht="15.75" customHeight="1" x14ac:dyDescent="0.2">
      <c r="A205" s="1" t="s">
        <v>272</v>
      </c>
      <c r="B205" s="1" t="s">
        <v>273</v>
      </c>
      <c r="C205" s="1" t="s">
        <v>273</v>
      </c>
      <c r="D205" s="2" t="s">
        <v>273</v>
      </c>
      <c r="E205" s="1">
        <v>1</v>
      </c>
      <c r="F205" s="1">
        <v>1</v>
      </c>
      <c r="G205" s="1" t="s">
        <v>804</v>
      </c>
      <c r="R205" s="1"/>
      <c r="S205" s="1"/>
      <c r="T205" s="1"/>
      <c r="U205" s="2"/>
      <c r="V205" s="1"/>
      <c r="W205" s="1"/>
      <c r="X205" s="1"/>
    </row>
    <row r="206" spans="1:24" ht="15.75" customHeight="1" x14ac:dyDescent="0.2">
      <c r="A206" s="1" t="s">
        <v>274</v>
      </c>
      <c r="B206" s="1" t="s">
        <v>275</v>
      </c>
      <c r="C206" s="1" t="s">
        <v>275</v>
      </c>
      <c r="D206" s="2" t="s">
        <v>275</v>
      </c>
      <c r="E206" s="1">
        <v>1</v>
      </c>
      <c r="F206" s="1">
        <v>1</v>
      </c>
      <c r="G206" s="1" t="s">
        <v>804</v>
      </c>
      <c r="R206" s="1"/>
      <c r="S206" s="1"/>
      <c r="T206" s="1"/>
      <c r="U206" s="2"/>
      <c r="V206" s="1"/>
      <c r="W206" s="1"/>
      <c r="X206" s="1"/>
    </row>
    <row r="207" spans="1:24" ht="15.75" customHeight="1" x14ac:dyDescent="0.2">
      <c r="A207" s="1" t="s">
        <v>276</v>
      </c>
      <c r="B207" s="1" t="s">
        <v>277</v>
      </c>
      <c r="C207" s="1" t="s">
        <v>277</v>
      </c>
      <c r="D207" s="2" t="s">
        <v>277</v>
      </c>
      <c r="E207" s="1">
        <v>1</v>
      </c>
      <c r="F207" s="1">
        <v>1</v>
      </c>
      <c r="G207" s="1" t="s">
        <v>804</v>
      </c>
      <c r="R207" s="1"/>
      <c r="S207" s="1"/>
      <c r="T207" s="1"/>
      <c r="U207" s="2"/>
      <c r="V207" s="1"/>
      <c r="W207" s="1"/>
      <c r="X207" s="1"/>
    </row>
    <row r="208" spans="1:24" ht="15.75" customHeight="1" x14ac:dyDescent="0.2">
      <c r="A208" s="1" t="s">
        <v>278</v>
      </c>
      <c r="B208" s="1" t="s">
        <v>279</v>
      </c>
      <c r="C208" s="1" t="s">
        <v>279</v>
      </c>
      <c r="D208" s="2" t="s">
        <v>279</v>
      </c>
      <c r="E208" s="1">
        <v>1</v>
      </c>
      <c r="F208" s="1">
        <v>1</v>
      </c>
      <c r="G208" s="1" t="s">
        <v>804</v>
      </c>
      <c r="R208" s="1"/>
      <c r="S208" s="1"/>
      <c r="T208" s="1"/>
      <c r="U208" s="2"/>
      <c r="V208" s="1"/>
      <c r="W208" s="1"/>
      <c r="X208" s="1"/>
    </row>
    <row r="209" spans="1:24" ht="15.75" customHeight="1" x14ac:dyDescent="0.2">
      <c r="A209" s="1" t="s">
        <v>280</v>
      </c>
      <c r="B209" s="1" t="s">
        <v>281</v>
      </c>
      <c r="C209" s="1" t="s">
        <v>281</v>
      </c>
      <c r="D209" s="2" t="s">
        <v>282</v>
      </c>
      <c r="E209" s="1">
        <v>1</v>
      </c>
      <c r="F209" s="1" t="s">
        <v>15</v>
      </c>
      <c r="G209" s="1" t="s">
        <v>804</v>
      </c>
      <c r="R209" s="1"/>
      <c r="S209" s="1"/>
      <c r="T209" s="1"/>
      <c r="U209" s="2"/>
      <c r="V209" s="1"/>
      <c r="W209" s="1"/>
      <c r="X209" s="1"/>
    </row>
    <row r="210" spans="1:24" ht="15.75" customHeight="1" x14ac:dyDescent="0.2">
      <c r="A210" s="1" t="s">
        <v>283</v>
      </c>
      <c r="B210" s="1" t="s">
        <v>284</v>
      </c>
      <c r="C210" s="1" t="s">
        <v>284</v>
      </c>
      <c r="D210" s="2" t="s">
        <v>284</v>
      </c>
      <c r="E210" s="1">
        <v>1</v>
      </c>
      <c r="F210" s="1">
        <v>1</v>
      </c>
      <c r="G210" s="1" t="s">
        <v>804</v>
      </c>
      <c r="R210" s="1"/>
      <c r="S210" s="1"/>
      <c r="T210" s="1"/>
      <c r="U210" s="2"/>
      <c r="V210" s="1"/>
      <c r="W210" s="1"/>
      <c r="X210" s="1"/>
    </row>
    <row r="211" spans="1:24" ht="15.75" customHeight="1" x14ac:dyDescent="0.2">
      <c r="A211" s="1" t="s">
        <v>285</v>
      </c>
      <c r="B211" s="1" t="s">
        <v>286</v>
      </c>
      <c r="C211" s="1" t="s">
        <v>286</v>
      </c>
      <c r="D211" s="2" t="s">
        <v>286</v>
      </c>
      <c r="E211" s="1">
        <v>1</v>
      </c>
      <c r="F211" s="1">
        <v>1</v>
      </c>
      <c r="G211" s="1" t="s">
        <v>804</v>
      </c>
      <c r="R211" s="1"/>
      <c r="S211" s="1"/>
      <c r="T211" s="1"/>
      <c r="U211" s="2"/>
      <c r="V211" s="1"/>
      <c r="W211" s="1"/>
      <c r="X211" s="1"/>
    </row>
    <row r="212" spans="1:24" ht="15.75" customHeight="1" x14ac:dyDescent="0.2">
      <c r="A212" s="1" t="s">
        <v>287</v>
      </c>
      <c r="B212" s="1" t="s">
        <v>288</v>
      </c>
      <c r="C212" s="1" t="s">
        <v>288</v>
      </c>
      <c r="D212" s="2" t="s">
        <v>289</v>
      </c>
      <c r="E212" s="1">
        <v>1</v>
      </c>
      <c r="F212" s="1">
        <v>1</v>
      </c>
      <c r="G212" s="1" t="s">
        <v>804</v>
      </c>
      <c r="R212" s="1"/>
      <c r="S212" s="1"/>
      <c r="T212" s="1"/>
      <c r="U212" s="2"/>
      <c r="V212" s="1"/>
      <c r="W212" s="1"/>
      <c r="X212" s="1"/>
    </row>
    <row r="213" spans="1:24" ht="15.75" customHeight="1" x14ac:dyDescent="0.2">
      <c r="A213" s="1" t="s">
        <v>290</v>
      </c>
      <c r="B213" s="1" t="s">
        <v>291</v>
      </c>
      <c r="C213" s="1" t="s">
        <v>291</v>
      </c>
      <c r="D213" s="2" t="s">
        <v>292</v>
      </c>
      <c r="E213" s="1">
        <v>1</v>
      </c>
      <c r="F213" s="1">
        <v>1</v>
      </c>
      <c r="G213" s="1" t="s">
        <v>804</v>
      </c>
      <c r="R213" s="1"/>
      <c r="S213" s="1"/>
      <c r="T213" s="1"/>
      <c r="U213" s="2"/>
      <c r="V213" s="1"/>
      <c r="W213" s="1"/>
      <c r="X213" s="1"/>
    </row>
    <row r="214" spans="1:24" ht="15.75" customHeight="1" x14ac:dyDescent="0.2">
      <c r="A214" s="1" t="s">
        <v>293</v>
      </c>
      <c r="B214" s="1" t="s">
        <v>294</v>
      </c>
      <c r="C214" s="1" t="s">
        <v>294</v>
      </c>
      <c r="D214" s="2" t="s">
        <v>294</v>
      </c>
      <c r="E214" s="1">
        <v>1</v>
      </c>
      <c r="F214" s="1">
        <v>1</v>
      </c>
      <c r="G214" s="1" t="s">
        <v>804</v>
      </c>
      <c r="R214" s="1"/>
      <c r="S214" s="1"/>
      <c r="T214" s="1"/>
      <c r="U214" s="2"/>
      <c r="V214" s="1"/>
      <c r="W214" s="1"/>
      <c r="X214" s="1"/>
    </row>
    <row r="215" spans="1:24" ht="15.75" customHeight="1" x14ac:dyDescent="0.2">
      <c r="A215" s="1" t="s">
        <v>295</v>
      </c>
      <c r="B215" s="1" t="s">
        <v>296</v>
      </c>
      <c r="C215" s="1" t="s">
        <v>296</v>
      </c>
      <c r="D215" s="2" t="s">
        <v>297</v>
      </c>
      <c r="E215" s="1">
        <v>1</v>
      </c>
      <c r="F215" s="1">
        <v>1</v>
      </c>
      <c r="G215" s="1" t="s">
        <v>804</v>
      </c>
      <c r="R215" s="1"/>
      <c r="S215" s="1"/>
      <c r="T215" s="1"/>
      <c r="U215" s="2"/>
      <c r="V215" s="1"/>
      <c r="W215" s="1"/>
      <c r="X215" s="1"/>
    </row>
    <row r="216" spans="1:24" ht="15.75" customHeight="1" x14ac:dyDescent="0.2">
      <c r="A216" s="1" t="s">
        <v>298</v>
      </c>
      <c r="B216" s="1" t="s">
        <v>299</v>
      </c>
      <c r="C216" s="1" t="s">
        <v>299</v>
      </c>
      <c r="D216" s="2" t="s">
        <v>300</v>
      </c>
      <c r="E216" s="1">
        <v>1</v>
      </c>
      <c r="F216" s="1">
        <v>1</v>
      </c>
      <c r="G216" s="1" t="s">
        <v>804</v>
      </c>
      <c r="R216" s="1"/>
      <c r="S216" s="1"/>
      <c r="T216" s="1"/>
      <c r="U216" s="2"/>
      <c r="V216" s="1"/>
      <c r="W216" s="1"/>
      <c r="X216" s="1"/>
    </row>
    <row r="217" spans="1:24" ht="15.75" customHeight="1" x14ac:dyDescent="0.2">
      <c r="A217" s="1" t="s">
        <v>301</v>
      </c>
      <c r="B217" s="1" t="s">
        <v>302</v>
      </c>
      <c r="C217" s="1" t="s">
        <v>303</v>
      </c>
      <c r="D217" s="2" t="s">
        <v>302</v>
      </c>
      <c r="E217" s="1" t="s">
        <v>15</v>
      </c>
      <c r="F217" s="1" t="s">
        <v>15</v>
      </c>
      <c r="G217" s="1" t="s">
        <v>803</v>
      </c>
      <c r="R217" s="1"/>
      <c r="S217" s="1"/>
      <c r="T217" s="1"/>
      <c r="U217" s="2"/>
      <c r="V217" s="1"/>
      <c r="W217" s="1"/>
      <c r="X217" s="1"/>
    </row>
    <row r="218" spans="1:24" ht="15.75" customHeight="1" x14ac:dyDescent="0.2">
      <c r="A218" s="1" t="s">
        <v>304</v>
      </c>
      <c r="B218" s="1" t="s">
        <v>305</v>
      </c>
      <c r="C218" s="1" t="s">
        <v>305</v>
      </c>
      <c r="D218" s="2" t="s">
        <v>306</v>
      </c>
      <c r="E218" s="1" t="s">
        <v>15</v>
      </c>
      <c r="F218" s="1" t="s">
        <v>15</v>
      </c>
      <c r="G218" s="1" t="s">
        <v>804</v>
      </c>
      <c r="R218" s="1"/>
      <c r="S218" s="1"/>
      <c r="T218" s="1"/>
      <c r="U218" s="2"/>
      <c r="V218" s="1"/>
      <c r="W218" s="1"/>
      <c r="X218" s="1"/>
    </row>
    <row r="219" spans="1:24" ht="15.75" customHeight="1" x14ac:dyDescent="0.2">
      <c r="A219" s="1" t="s">
        <v>307</v>
      </c>
      <c r="B219" s="1" t="s">
        <v>308</v>
      </c>
      <c r="C219" s="1" t="s">
        <v>309</v>
      </c>
      <c r="D219" s="2" t="s">
        <v>308</v>
      </c>
      <c r="E219" s="1" t="s">
        <v>310</v>
      </c>
      <c r="F219" s="1" t="s">
        <v>15</v>
      </c>
      <c r="G219" s="1" t="s">
        <v>803</v>
      </c>
      <c r="R219" s="1"/>
      <c r="S219" s="1"/>
      <c r="T219" s="1"/>
      <c r="U219" s="2"/>
      <c r="V219" s="1"/>
      <c r="W219" s="1"/>
      <c r="X219" s="1"/>
    </row>
    <row r="220" spans="1:24" ht="15.75" customHeight="1" x14ac:dyDescent="0.2">
      <c r="A220" s="1" t="s">
        <v>311</v>
      </c>
      <c r="B220" s="1" t="s">
        <v>312</v>
      </c>
      <c r="C220" s="1" t="s">
        <v>312</v>
      </c>
      <c r="D220" s="2" t="s">
        <v>313</v>
      </c>
      <c r="E220" s="1">
        <v>1</v>
      </c>
      <c r="F220" s="1">
        <v>1</v>
      </c>
      <c r="G220" s="1" t="s">
        <v>804</v>
      </c>
      <c r="R220" s="1"/>
      <c r="S220" s="1"/>
      <c r="T220" s="1"/>
      <c r="U220" s="2"/>
      <c r="V220" s="1"/>
      <c r="W220" s="1"/>
      <c r="X220" s="1"/>
    </row>
    <row r="221" spans="1:24" ht="15.75" customHeight="1" x14ac:dyDescent="0.2">
      <c r="A221" s="1" t="s">
        <v>314</v>
      </c>
      <c r="B221" s="1" t="s">
        <v>315</v>
      </c>
      <c r="C221" s="1" t="s">
        <v>315</v>
      </c>
      <c r="D221" s="2" t="s">
        <v>316</v>
      </c>
      <c r="E221" s="1">
        <v>1</v>
      </c>
      <c r="F221" s="1">
        <v>1</v>
      </c>
      <c r="G221" s="1" t="s">
        <v>804</v>
      </c>
      <c r="R221" s="1"/>
      <c r="S221" s="1"/>
      <c r="T221" s="1"/>
      <c r="U221" s="2"/>
      <c r="V221" s="1"/>
      <c r="W221" s="1"/>
      <c r="X221" s="1"/>
    </row>
    <row r="222" spans="1:24" ht="15.75" customHeight="1" x14ac:dyDescent="0.2">
      <c r="A222" s="1" t="s">
        <v>317</v>
      </c>
      <c r="B222" s="1" t="s">
        <v>318</v>
      </c>
      <c r="C222" s="1" t="s">
        <v>319</v>
      </c>
      <c r="D222" s="2" t="s">
        <v>320</v>
      </c>
      <c r="E222" s="1" t="s">
        <v>15</v>
      </c>
      <c r="F222" s="1" t="s">
        <v>15</v>
      </c>
      <c r="G222" s="1" t="s">
        <v>803</v>
      </c>
      <c r="R222" s="1"/>
      <c r="S222" s="1"/>
      <c r="T222" s="1"/>
      <c r="U222" s="2"/>
      <c r="V222" s="1"/>
      <c r="W222" s="1"/>
      <c r="X222" s="1"/>
    </row>
    <row r="223" spans="1:24" ht="15.75" customHeight="1" x14ac:dyDescent="0.2">
      <c r="A223" s="1" t="s">
        <v>321</v>
      </c>
      <c r="B223" s="1" t="s">
        <v>322</v>
      </c>
      <c r="C223" s="1" t="s">
        <v>322</v>
      </c>
      <c r="D223" s="2" t="s">
        <v>322</v>
      </c>
      <c r="E223" s="1">
        <v>1</v>
      </c>
      <c r="F223" s="1">
        <v>1</v>
      </c>
      <c r="G223" s="1" t="s">
        <v>804</v>
      </c>
      <c r="R223" s="1"/>
      <c r="S223" s="1"/>
      <c r="T223" s="1"/>
      <c r="U223" s="2"/>
      <c r="V223" s="1"/>
      <c r="W223" s="1"/>
      <c r="X223" s="1"/>
    </row>
    <row r="224" spans="1:24" ht="15.75" customHeight="1" x14ac:dyDescent="0.2">
      <c r="A224" s="1" t="s">
        <v>323</v>
      </c>
      <c r="B224" s="1" t="s">
        <v>324</v>
      </c>
      <c r="C224" s="1" t="s">
        <v>324</v>
      </c>
      <c r="D224" s="2" t="s">
        <v>325</v>
      </c>
      <c r="E224" s="1">
        <v>1</v>
      </c>
      <c r="F224" s="1">
        <v>1</v>
      </c>
      <c r="G224" s="1" t="s">
        <v>804</v>
      </c>
      <c r="R224" s="1"/>
      <c r="S224" s="1"/>
      <c r="T224" s="1"/>
      <c r="U224" s="2"/>
      <c r="V224" s="1"/>
      <c r="W224" s="1"/>
      <c r="X224" s="1"/>
    </row>
    <row r="225" spans="1:24" ht="15.75" customHeight="1" x14ac:dyDescent="0.2">
      <c r="A225" s="1" t="s">
        <v>326</v>
      </c>
      <c r="B225" s="1" t="s">
        <v>327</v>
      </c>
      <c r="C225" s="1" t="s">
        <v>327</v>
      </c>
      <c r="D225" s="2" t="s">
        <v>328</v>
      </c>
      <c r="E225" s="1">
        <v>1</v>
      </c>
      <c r="F225" s="1">
        <v>1</v>
      </c>
      <c r="G225" s="1" t="s">
        <v>804</v>
      </c>
      <c r="R225" s="1"/>
      <c r="S225" s="1"/>
      <c r="T225" s="1"/>
      <c r="U225" s="2"/>
      <c r="V225" s="1"/>
      <c r="W225" s="1"/>
      <c r="X225" s="1"/>
    </row>
    <row r="226" spans="1:24" ht="15.75" customHeight="1" x14ac:dyDescent="0.2">
      <c r="A226" s="1" t="s">
        <v>329</v>
      </c>
      <c r="B226" s="1" t="s">
        <v>330</v>
      </c>
      <c r="C226" s="1" t="s">
        <v>330</v>
      </c>
      <c r="D226" s="2" t="s">
        <v>330</v>
      </c>
      <c r="E226" s="1">
        <v>1</v>
      </c>
      <c r="F226" s="1"/>
      <c r="G226" s="1" t="s">
        <v>804</v>
      </c>
      <c r="R226" s="1"/>
      <c r="S226" s="1"/>
      <c r="T226" s="1"/>
      <c r="U226" s="2"/>
      <c r="V226" s="1"/>
      <c r="W226" s="1"/>
      <c r="X226" s="1"/>
    </row>
    <row r="227" spans="1:24" ht="15.75" customHeight="1" x14ac:dyDescent="0.2">
      <c r="A227" s="1" t="s">
        <v>331</v>
      </c>
      <c r="B227" s="1" t="s">
        <v>332</v>
      </c>
      <c r="C227" s="1" t="s">
        <v>332</v>
      </c>
      <c r="D227" s="2" t="s">
        <v>333</v>
      </c>
      <c r="E227" s="1">
        <v>1</v>
      </c>
      <c r="F227" s="1">
        <v>1</v>
      </c>
      <c r="G227" s="1" t="s">
        <v>804</v>
      </c>
      <c r="R227" s="1"/>
      <c r="S227" s="1"/>
      <c r="T227" s="1"/>
      <c r="U227" s="2"/>
      <c r="V227" s="1"/>
      <c r="W227" s="1"/>
      <c r="X227" s="1"/>
    </row>
    <row r="228" spans="1:24" ht="15.75" customHeight="1" x14ac:dyDescent="0.2">
      <c r="A228" s="1" t="s">
        <v>334</v>
      </c>
      <c r="B228" s="1" t="s">
        <v>335</v>
      </c>
      <c r="C228" s="1" t="s">
        <v>335</v>
      </c>
      <c r="D228" s="2" t="s">
        <v>335</v>
      </c>
      <c r="E228" s="1">
        <v>1</v>
      </c>
      <c r="F228" s="1">
        <v>1</v>
      </c>
      <c r="G228" s="1" t="s">
        <v>804</v>
      </c>
      <c r="R228" s="1"/>
      <c r="S228" s="1"/>
      <c r="T228" s="1"/>
      <c r="U228" s="2"/>
      <c r="V228" s="1"/>
      <c r="W228" s="1"/>
      <c r="X228" s="1"/>
    </row>
    <row r="229" spans="1:24" ht="15.75" customHeight="1" x14ac:dyDescent="0.2">
      <c r="A229" s="1" t="s">
        <v>336</v>
      </c>
      <c r="B229" s="1" t="s">
        <v>337</v>
      </c>
      <c r="C229" s="1" t="s">
        <v>337</v>
      </c>
      <c r="D229" s="2" t="s">
        <v>338</v>
      </c>
      <c r="E229" s="1">
        <v>1</v>
      </c>
      <c r="F229" s="1">
        <v>1</v>
      </c>
      <c r="G229" s="1" t="s">
        <v>804</v>
      </c>
      <c r="R229" s="1"/>
      <c r="S229" s="1"/>
      <c r="T229" s="1"/>
      <c r="U229" s="2"/>
      <c r="V229" s="1"/>
      <c r="W229" s="1"/>
      <c r="X229" s="1"/>
    </row>
    <row r="230" spans="1:24" ht="15.75" customHeight="1" x14ac:dyDescent="0.2">
      <c r="A230" s="1" t="s">
        <v>339</v>
      </c>
      <c r="B230" s="1" t="s">
        <v>340</v>
      </c>
      <c r="C230" s="1" t="s">
        <v>340</v>
      </c>
      <c r="D230" s="2" t="s">
        <v>340</v>
      </c>
      <c r="E230" s="1">
        <v>1</v>
      </c>
      <c r="F230" s="1">
        <v>1</v>
      </c>
      <c r="G230" s="1" t="s">
        <v>804</v>
      </c>
      <c r="R230" s="1"/>
      <c r="S230" s="1"/>
      <c r="T230" s="1"/>
      <c r="U230" s="2"/>
      <c r="V230" s="1"/>
      <c r="W230" s="1"/>
      <c r="X230" s="1"/>
    </row>
    <row r="231" spans="1:24" ht="15.75" customHeight="1" x14ac:dyDescent="0.2">
      <c r="A231" s="1" t="s">
        <v>341</v>
      </c>
      <c r="B231" s="1" t="s">
        <v>342</v>
      </c>
      <c r="C231" s="1" t="s">
        <v>342</v>
      </c>
      <c r="D231" s="2" t="s">
        <v>342</v>
      </c>
      <c r="E231" s="1">
        <v>1</v>
      </c>
      <c r="F231" s="1">
        <v>1</v>
      </c>
      <c r="G231" s="1" t="s">
        <v>804</v>
      </c>
      <c r="R231" s="1"/>
      <c r="S231" s="1"/>
      <c r="T231" s="1"/>
      <c r="U231" s="2"/>
      <c r="V231" s="1"/>
      <c r="W231" s="1"/>
      <c r="X231" s="1"/>
    </row>
    <row r="232" spans="1:24" ht="15.75" customHeight="1" x14ac:dyDescent="0.2">
      <c r="A232" s="1" t="s">
        <v>343</v>
      </c>
      <c r="B232" s="1" t="s">
        <v>344</v>
      </c>
      <c r="C232" s="1" t="s">
        <v>344</v>
      </c>
      <c r="D232" s="2" t="s">
        <v>344</v>
      </c>
      <c r="E232" s="1">
        <v>1</v>
      </c>
      <c r="F232" s="1">
        <v>1</v>
      </c>
      <c r="G232" s="1" t="s">
        <v>804</v>
      </c>
      <c r="R232" s="1"/>
      <c r="S232" s="1"/>
      <c r="T232" s="1"/>
      <c r="U232" s="2"/>
      <c r="V232" s="1"/>
      <c r="W232" s="1"/>
      <c r="X232" s="1"/>
    </row>
    <row r="233" spans="1:24" ht="15.75" customHeight="1" x14ac:dyDescent="0.2">
      <c r="A233" s="1" t="s">
        <v>345</v>
      </c>
      <c r="B233" s="1" t="s">
        <v>346</v>
      </c>
      <c r="C233" s="1" t="s">
        <v>346</v>
      </c>
      <c r="D233" s="2" t="s">
        <v>346</v>
      </c>
      <c r="E233" s="1">
        <v>1</v>
      </c>
      <c r="F233" s="1">
        <v>1</v>
      </c>
      <c r="G233" s="1" t="s">
        <v>804</v>
      </c>
      <c r="R233" s="1"/>
      <c r="S233" s="1"/>
      <c r="T233" s="1"/>
      <c r="U233" s="2"/>
      <c r="V233" s="1"/>
      <c r="W233" s="1"/>
      <c r="X233" s="1"/>
    </row>
    <row r="234" spans="1:24" ht="15.75" customHeight="1" x14ac:dyDescent="0.2">
      <c r="A234" s="1" t="s">
        <v>347</v>
      </c>
      <c r="B234" s="1" t="s">
        <v>348</v>
      </c>
      <c r="C234" s="1" t="s">
        <v>348</v>
      </c>
      <c r="D234" s="2" t="s">
        <v>349</v>
      </c>
      <c r="E234" s="1">
        <v>1</v>
      </c>
      <c r="F234" s="1">
        <v>1</v>
      </c>
      <c r="G234" s="1" t="s">
        <v>804</v>
      </c>
      <c r="R234" s="1"/>
      <c r="S234" s="1"/>
      <c r="T234" s="1"/>
      <c r="U234" s="2"/>
      <c r="V234" s="1"/>
      <c r="W234" s="1"/>
      <c r="X234" s="1"/>
    </row>
    <row r="235" spans="1:24" ht="15.75" customHeight="1" x14ac:dyDescent="0.2">
      <c r="A235" s="1" t="s">
        <v>350</v>
      </c>
      <c r="B235" s="1" t="s">
        <v>351</v>
      </c>
      <c r="C235" s="1" t="s">
        <v>351</v>
      </c>
      <c r="D235" s="2" t="s">
        <v>352</v>
      </c>
      <c r="E235" s="1">
        <v>1</v>
      </c>
      <c r="F235" s="1">
        <v>1</v>
      </c>
      <c r="G235" s="1" t="s">
        <v>804</v>
      </c>
      <c r="R235" s="1"/>
      <c r="S235" s="1"/>
      <c r="T235" s="1"/>
      <c r="U235" s="2"/>
      <c r="V235" s="1"/>
      <c r="W235" s="1"/>
      <c r="X235" s="1"/>
    </row>
    <row r="236" spans="1:24" ht="15.75" customHeight="1" x14ac:dyDescent="0.2">
      <c r="A236" s="1" t="s">
        <v>353</v>
      </c>
      <c r="B236" s="1" t="s">
        <v>354</v>
      </c>
      <c r="C236" s="1" t="s">
        <v>355</v>
      </c>
      <c r="D236" s="2" t="s">
        <v>354</v>
      </c>
      <c r="E236" s="1" t="s">
        <v>15</v>
      </c>
      <c r="F236" s="1" t="s">
        <v>15</v>
      </c>
      <c r="G236" s="1" t="s">
        <v>803</v>
      </c>
      <c r="R236" s="1"/>
      <c r="S236" s="1"/>
      <c r="T236" s="1"/>
      <c r="U236" s="2"/>
      <c r="V236" s="1"/>
      <c r="W236" s="1"/>
      <c r="X236" s="1"/>
    </row>
    <row r="237" spans="1:24" ht="15.75" customHeight="1" x14ac:dyDescent="0.2">
      <c r="A237" s="1" t="s">
        <v>356</v>
      </c>
      <c r="B237" s="1" t="s">
        <v>357</v>
      </c>
      <c r="C237" s="1" t="s">
        <v>357</v>
      </c>
      <c r="D237" s="2" t="s">
        <v>358</v>
      </c>
      <c r="E237" s="1">
        <v>1</v>
      </c>
      <c r="F237" s="1">
        <v>1</v>
      </c>
      <c r="G237" s="1" t="s">
        <v>804</v>
      </c>
      <c r="R237" s="1"/>
      <c r="S237" s="1"/>
      <c r="T237" s="1"/>
      <c r="U237" s="2"/>
      <c r="V237" s="1"/>
      <c r="W237" s="1"/>
      <c r="X237" s="1"/>
    </row>
    <row r="238" spans="1:24" ht="15.75" customHeight="1" x14ac:dyDescent="0.2">
      <c r="A238" s="1" t="s">
        <v>359</v>
      </c>
      <c r="B238" s="1" t="s">
        <v>360</v>
      </c>
      <c r="C238" s="1" t="s">
        <v>360</v>
      </c>
      <c r="D238" s="2" t="s">
        <v>360</v>
      </c>
      <c r="E238" s="1">
        <v>1</v>
      </c>
      <c r="F238" s="1">
        <v>1</v>
      </c>
      <c r="G238" s="1" t="s">
        <v>804</v>
      </c>
      <c r="R238" s="1"/>
      <c r="S238" s="1"/>
      <c r="T238" s="1"/>
      <c r="U238" s="2"/>
      <c r="V238" s="1"/>
      <c r="W238" s="1"/>
      <c r="X238" s="1"/>
    </row>
    <row r="239" spans="1:24" ht="15.75" customHeight="1" x14ac:dyDescent="0.2">
      <c r="A239" s="1" t="s">
        <v>361</v>
      </c>
      <c r="B239" s="1" t="s">
        <v>362</v>
      </c>
      <c r="C239" s="1" t="s">
        <v>362</v>
      </c>
      <c r="D239" s="2" t="s">
        <v>363</v>
      </c>
      <c r="E239" s="1">
        <v>1</v>
      </c>
      <c r="F239" s="1">
        <v>1</v>
      </c>
      <c r="G239" s="1" t="s">
        <v>804</v>
      </c>
      <c r="R239" s="1"/>
      <c r="S239" s="1"/>
      <c r="T239" s="1"/>
      <c r="U239" s="2"/>
      <c r="V239" s="1"/>
      <c r="W239" s="1"/>
      <c r="X239" s="1"/>
    </row>
    <row r="240" spans="1:24" ht="15.75" customHeight="1" x14ac:dyDescent="0.2">
      <c r="A240" s="1" t="s">
        <v>364</v>
      </c>
      <c r="B240" s="1" t="s">
        <v>365</v>
      </c>
      <c r="C240" s="1" t="s">
        <v>365</v>
      </c>
      <c r="D240" s="2" t="s">
        <v>365</v>
      </c>
      <c r="E240" s="1">
        <v>1</v>
      </c>
      <c r="F240" s="1">
        <v>1</v>
      </c>
      <c r="G240" s="1" t="s">
        <v>804</v>
      </c>
      <c r="R240" s="1"/>
      <c r="S240" s="1"/>
      <c r="T240" s="1"/>
      <c r="U240" s="2"/>
      <c r="V240" s="1"/>
      <c r="W240" s="1"/>
      <c r="X240" s="1"/>
    </row>
    <row r="241" spans="1:24" ht="15.75" customHeight="1" x14ac:dyDescent="0.2">
      <c r="A241" s="1" t="s">
        <v>366</v>
      </c>
      <c r="B241" s="1" t="s">
        <v>367</v>
      </c>
      <c r="C241" s="1" t="s">
        <v>367</v>
      </c>
      <c r="D241" s="2" t="s">
        <v>367</v>
      </c>
      <c r="E241" s="1">
        <v>1</v>
      </c>
      <c r="F241" s="1">
        <v>1</v>
      </c>
      <c r="G241" s="1" t="s">
        <v>804</v>
      </c>
      <c r="R241" s="1"/>
      <c r="S241" s="1"/>
      <c r="T241" s="1"/>
      <c r="U241" s="2"/>
      <c r="V241" s="1"/>
      <c r="W241" s="1"/>
      <c r="X241" s="1"/>
    </row>
    <row r="242" spans="1:24" ht="15.75" customHeight="1" x14ac:dyDescent="0.2">
      <c r="A242" s="1" t="s">
        <v>368</v>
      </c>
      <c r="B242" s="1" t="s">
        <v>369</v>
      </c>
      <c r="C242" s="1" t="s">
        <v>369</v>
      </c>
      <c r="D242" s="2" t="s">
        <v>370</v>
      </c>
      <c r="E242" s="1">
        <v>1</v>
      </c>
      <c r="F242" s="1">
        <v>1</v>
      </c>
      <c r="G242" s="1" t="s">
        <v>804</v>
      </c>
      <c r="R242" s="1"/>
      <c r="S242" s="1"/>
      <c r="T242" s="1"/>
      <c r="U242" s="2"/>
      <c r="V242" s="1"/>
      <c r="W242" s="1"/>
      <c r="X242" s="1"/>
    </row>
    <row r="243" spans="1:24" ht="15.75" customHeight="1" x14ac:dyDescent="0.2">
      <c r="A243" s="1" t="s">
        <v>371</v>
      </c>
      <c r="B243" s="1" t="s">
        <v>372</v>
      </c>
      <c r="C243" s="1" t="s">
        <v>373</v>
      </c>
      <c r="D243" s="2" t="s">
        <v>372</v>
      </c>
      <c r="E243" s="1">
        <v>1</v>
      </c>
      <c r="F243" s="1">
        <v>1</v>
      </c>
      <c r="G243" s="1" t="s">
        <v>803</v>
      </c>
      <c r="R243" s="1"/>
      <c r="S243" s="1"/>
      <c r="T243" s="1"/>
      <c r="U243" s="2"/>
      <c r="V243" s="1"/>
      <c r="W243" s="1"/>
      <c r="X243" s="1"/>
    </row>
    <row r="244" spans="1:24" ht="15.75" customHeight="1" x14ac:dyDescent="0.2">
      <c r="A244" s="1" t="s">
        <v>374</v>
      </c>
      <c r="B244" s="1" t="s">
        <v>375</v>
      </c>
      <c r="C244" s="1" t="s">
        <v>375</v>
      </c>
      <c r="D244" s="2" t="s">
        <v>375</v>
      </c>
      <c r="E244" s="1">
        <v>1</v>
      </c>
      <c r="F244" s="1">
        <v>1</v>
      </c>
      <c r="G244" s="1" t="s">
        <v>804</v>
      </c>
      <c r="R244" s="1"/>
      <c r="S244" s="1"/>
      <c r="T244" s="1"/>
      <c r="U244" s="2"/>
      <c r="V244" s="1"/>
      <c r="W244" s="1"/>
      <c r="X244" s="1"/>
    </row>
    <row r="245" spans="1:24" ht="15.75" customHeight="1" x14ac:dyDescent="0.2">
      <c r="A245" s="1" t="s">
        <v>376</v>
      </c>
      <c r="B245" s="1" t="s">
        <v>377</v>
      </c>
      <c r="C245" s="1" t="s">
        <v>377</v>
      </c>
      <c r="D245" s="2" t="s">
        <v>378</v>
      </c>
      <c r="E245" s="1">
        <v>1</v>
      </c>
      <c r="F245" s="1">
        <v>1</v>
      </c>
      <c r="G245" s="1" t="s">
        <v>804</v>
      </c>
      <c r="R245" s="1"/>
      <c r="S245" s="1"/>
      <c r="T245" s="1"/>
      <c r="U245" s="2"/>
      <c r="V245" s="1"/>
      <c r="W245" s="1"/>
      <c r="X245" s="1"/>
    </row>
    <row r="246" spans="1:24" ht="15.75" customHeight="1" x14ac:dyDescent="0.2">
      <c r="A246" s="1" t="s">
        <v>379</v>
      </c>
      <c r="B246" s="1" t="s">
        <v>380</v>
      </c>
      <c r="C246" s="1" t="s">
        <v>380</v>
      </c>
      <c r="D246" s="2" t="s">
        <v>381</v>
      </c>
      <c r="E246" s="1" t="s">
        <v>15</v>
      </c>
      <c r="F246" s="1">
        <v>1</v>
      </c>
      <c r="G246" s="1" t="s">
        <v>804</v>
      </c>
      <c r="R246" s="1"/>
      <c r="S246" s="1"/>
      <c r="T246" s="1"/>
      <c r="U246" s="2"/>
      <c r="V246" s="1"/>
      <c r="W246" s="1"/>
      <c r="X246" s="1"/>
    </row>
    <row r="247" spans="1:24" ht="15.75" customHeight="1" x14ac:dyDescent="0.2">
      <c r="A247" s="1" t="s">
        <v>382</v>
      </c>
      <c r="B247" s="1" t="s">
        <v>383</v>
      </c>
      <c r="C247" s="1" t="s">
        <v>383</v>
      </c>
      <c r="D247" s="2" t="s">
        <v>384</v>
      </c>
      <c r="E247" s="1">
        <v>1</v>
      </c>
      <c r="F247" s="1">
        <v>1</v>
      </c>
      <c r="G247" s="1" t="s">
        <v>804</v>
      </c>
      <c r="R247" s="1"/>
      <c r="S247" s="1"/>
      <c r="T247" s="1"/>
      <c r="U247" s="2"/>
      <c r="V247" s="1"/>
      <c r="W247" s="1"/>
      <c r="X247" s="1"/>
    </row>
    <row r="248" spans="1:24" ht="15.75" customHeight="1" x14ac:dyDescent="0.2">
      <c r="A248" s="1" t="s">
        <v>385</v>
      </c>
      <c r="B248" s="1" t="s">
        <v>386</v>
      </c>
      <c r="C248" s="1" t="s">
        <v>386</v>
      </c>
      <c r="D248" s="2" t="s">
        <v>386</v>
      </c>
      <c r="E248" s="1">
        <v>1</v>
      </c>
      <c r="F248" s="1">
        <v>1</v>
      </c>
      <c r="G248" s="1" t="s">
        <v>804</v>
      </c>
      <c r="R248" s="1"/>
      <c r="S248" s="1"/>
      <c r="T248" s="1"/>
      <c r="U248" s="2"/>
      <c r="V248" s="1"/>
      <c r="W248" s="1"/>
      <c r="X248" s="1"/>
    </row>
    <row r="249" spans="1:24" ht="15.75" customHeight="1" x14ac:dyDescent="0.2">
      <c r="A249" s="1" t="s">
        <v>387</v>
      </c>
      <c r="B249" s="1" t="s">
        <v>388</v>
      </c>
      <c r="C249" s="1" t="s">
        <v>388</v>
      </c>
      <c r="D249" s="2" t="s">
        <v>388</v>
      </c>
      <c r="E249" s="1">
        <v>1</v>
      </c>
      <c r="F249" s="1">
        <v>1</v>
      </c>
      <c r="G249" s="1" t="s">
        <v>804</v>
      </c>
      <c r="R249" s="1"/>
      <c r="S249" s="1"/>
      <c r="T249" s="1"/>
      <c r="U249" s="2"/>
      <c r="V249" s="1"/>
      <c r="W249" s="1"/>
      <c r="X249" s="1"/>
    </row>
    <row r="250" spans="1:24" ht="15.75" customHeight="1" x14ac:dyDescent="0.2">
      <c r="A250" s="1" t="s">
        <v>389</v>
      </c>
      <c r="B250" s="1" t="s">
        <v>390</v>
      </c>
      <c r="C250" s="1" t="s">
        <v>390</v>
      </c>
      <c r="D250" s="2" t="s">
        <v>391</v>
      </c>
      <c r="E250" s="1">
        <v>1</v>
      </c>
      <c r="F250" s="1">
        <v>1</v>
      </c>
      <c r="G250" s="1" t="s">
        <v>804</v>
      </c>
      <c r="R250" s="1"/>
      <c r="S250" s="1"/>
      <c r="T250" s="1"/>
      <c r="U250" s="2"/>
      <c r="V250" s="1"/>
      <c r="W250" s="1"/>
      <c r="X250" s="1"/>
    </row>
    <row r="251" spans="1:24" ht="15.75" customHeight="1" x14ac:dyDescent="0.2">
      <c r="A251" s="1" t="s">
        <v>392</v>
      </c>
      <c r="B251" s="1" t="s">
        <v>393</v>
      </c>
      <c r="C251" s="1" t="s">
        <v>393</v>
      </c>
      <c r="D251" s="2" t="s">
        <v>394</v>
      </c>
      <c r="E251" s="1">
        <v>1</v>
      </c>
      <c r="F251" s="1">
        <v>1</v>
      </c>
      <c r="G251" s="1" t="s">
        <v>804</v>
      </c>
      <c r="R251" s="1"/>
      <c r="S251" s="1"/>
      <c r="T251" s="1"/>
      <c r="U251" s="2"/>
      <c r="V251" s="1"/>
      <c r="W251" s="1"/>
      <c r="X251" s="1"/>
    </row>
    <row r="252" spans="1:24" ht="15.75" customHeight="1" x14ac:dyDescent="0.2">
      <c r="A252" s="1" t="s">
        <v>395</v>
      </c>
      <c r="B252" s="1" t="s">
        <v>396</v>
      </c>
      <c r="C252" s="1" t="s">
        <v>396</v>
      </c>
      <c r="D252" s="2" t="s">
        <v>396</v>
      </c>
      <c r="E252" s="1">
        <v>1</v>
      </c>
      <c r="F252" s="1">
        <v>1</v>
      </c>
      <c r="G252" s="1" t="s">
        <v>804</v>
      </c>
      <c r="R252" s="1"/>
      <c r="S252" s="1"/>
      <c r="T252" s="1"/>
      <c r="U252" s="2"/>
      <c r="V252" s="1"/>
      <c r="W252" s="1"/>
      <c r="X252" s="1"/>
    </row>
    <row r="253" spans="1:24" ht="15.75" customHeight="1" x14ac:dyDescent="0.2">
      <c r="A253" s="1" t="s">
        <v>397</v>
      </c>
      <c r="B253" s="1" t="s">
        <v>398</v>
      </c>
      <c r="C253" s="1" t="s">
        <v>398</v>
      </c>
      <c r="D253" s="2" t="s">
        <v>399</v>
      </c>
      <c r="E253" s="1">
        <v>1</v>
      </c>
      <c r="F253" s="1">
        <v>1</v>
      </c>
      <c r="G253" s="1" t="s">
        <v>804</v>
      </c>
      <c r="R253" s="1"/>
      <c r="S253" s="1"/>
      <c r="T253" s="1"/>
      <c r="U253" s="2"/>
      <c r="V253" s="1"/>
      <c r="W253" s="1"/>
      <c r="X253" s="1"/>
    </row>
    <row r="254" spans="1:24" ht="15.75" customHeight="1" x14ac:dyDescent="0.2">
      <c r="A254" s="1" t="s">
        <v>400</v>
      </c>
      <c r="B254" s="1" t="s">
        <v>401</v>
      </c>
      <c r="C254" s="1" t="s">
        <v>401</v>
      </c>
      <c r="D254" s="2" t="s">
        <v>401</v>
      </c>
      <c r="E254" s="1">
        <v>1</v>
      </c>
      <c r="F254" s="1">
        <v>1</v>
      </c>
      <c r="G254" s="1" t="s">
        <v>804</v>
      </c>
      <c r="R254" s="1"/>
      <c r="S254" s="1"/>
      <c r="T254" s="1"/>
      <c r="U254" s="2"/>
      <c r="V254" s="1"/>
      <c r="W254" s="1"/>
      <c r="X254" s="1"/>
    </row>
    <row r="255" spans="1:24" ht="15.75" customHeight="1" x14ac:dyDescent="0.2">
      <c r="A255" s="1" t="s">
        <v>402</v>
      </c>
      <c r="B255" s="1" t="s">
        <v>403</v>
      </c>
      <c r="C255" s="1" t="s">
        <v>403</v>
      </c>
      <c r="D255" s="2" t="s">
        <v>404</v>
      </c>
      <c r="E255" s="1">
        <v>1</v>
      </c>
      <c r="F255" s="1">
        <v>1</v>
      </c>
      <c r="G255" s="1" t="s">
        <v>804</v>
      </c>
      <c r="R255" s="1"/>
      <c r="S255" s="1"/>
      <c r="T255" s="1"/>
      <c r="U255" s="2"/>
      <c r="V255" s="1"/>
      <c r="W255" s="1"/>
      <c r="X255" s="1"/>
    </row>
    <row r="256" spans="1:24" ht="15.75" customHeight="1" x14ac:dyDescent="0.2">
      <c r="A256" s="1" t="s">
        <v>405</v>
      </c>
      <c r="B256" s="1" t="s">
        <v>406</v>
      </c>
      <c r="C256" s="1" t="s">
        <v>406</v>
      </c>
      <c r="D256" s="2" t="s">
        <v>407</v>
      </c>
      <c r="E256" s="1">
        <v>1</v>
      </c>
      <c r="F256" s="1" t="s">
        <v>15</v>
      </c>
      <c r="G256" s="1" t="s">
        <v>804</v>
      </c>
      <c r="R256" s="1"/>
      <c r="S256" s="1"/>
      <c r="T256" s="1"/>
      <c r="U256" s="2"/>
      <c r="V256" s="1"/>
      <c r="W256" s="1"/>
      <c r="X256" s="1"/>
    </row>
    <row r="257" spans="1:24" ht="15.75" customHeight="1" x14ac:dyDescent="0.2">
      <c r="A257" s="1" t="s">
        <v>408</v>
      </c>
      <c r="B257" s="1" t="s">
        <v>409</v>
      </c>
      <c r="C257" s="1" t="s">
        <v>409</v>
      </c>
      <c r="D257" s="2" t="s">
        <v>409</v>
      </c>
      <c r="E257" s="1">
        <v>1</v>
      </c>
      <c r="F257" s="1">
        <v>1</v>
      </c>
      <c r="G257" s="1" t="s">
        <v>804</v>
      </c>
      <c r="R257" s="1"/>
      <c r="S257" s="1"/>
      <c r="T257" s="1"/>
      <c r="U257" s="2"/>
      <c r="V257" s="1"/>
      <c r="W257" s="1"/>
      <c r="X257" s="1"/>
    </row>
    <row r="258" spans="1:24" ht="15.75" customHeight="1" x14ac:dyDescent="0.2">
      <c r="A258" s="1" t="s">
        <v>410</v>
      </c>
      <c r="B258" s="1" t="s">
        <v>411</v>
      </c>
      <c r="C258" s="1" t="s">
        <v>411</v>
      </c>
      <c r="D258" s="2" t="s">
        <v>412</v>
      </c>
      <c r="E258" s="1">
        <v>1</v>
      </c>
      <c r="F258" s="1">
        <v>1</v>
      </c>
      <c r="G258" s="1" t="s">
        <v>804</v>
      </c>
      <c r="R258" s="1"/>
      <c r="S258" s="1"/>
      <c r="T258" s="1"/>
      <c r="U258" s="2"/>
      <c r="V258" s="1"/>
      <c r="W258" s="1"/>
      <c r="X258" s="1"/>
    </row>
    <row r="259" spans="1:24" ht="15.75" customHeight="1" x14ac:dyDescent="0.2">
      <c r="A259" s="1" t="s">
        <v>413</v>
      </c>
      <c r="B259" s="1" t="s">
        <v>414</v>
      </c>
      <c r="C259" s="1" t="s">
        <v>414</v>
      </c>
      <c r="D259" s="2" t="s">
        <v>414</v>
      </c>
      <c r="E259" s="1">
        <v>1</v>
      </c>
      <c r="F259" s="1">
        <v>1</v>
      </c>
      <c r="G259" s="1" t="s">
        <v>804</v>
      </c>
      <c r="R259" s="1"/>
      <c r="S259" s="1"/>
      <c r="T259" s="1"/>
      <c r="U259" s="2"/>
      <c r="V259" s="1"/>
      <c r="W259" s="1"/>
      <c r="X259" s="1"/>
    </row>
    <row r="260" spans="1:24" ht="15.75" customHeight="1" x14ac:dyDescent="0.2">
      <c r="A260" s="1" t="s">
        <v>675</v>
      </c>
      <c r="B260" s="1" t="s">
        <v>676</v>
      </c>
      <c r="C260" s="1" t="s">
        <v>676</v>
      </c>
      <c r="D260" s="8" t="s">
        <v>676</v>
      </c>
      <c r="E260" s="1">
        <v>1</v>
      </c>
      <c r="F260" s="1">
        <v>1</v>
      </c>
      <c r="G260" s="1" t="s">
        <v>804</v>
      </c>
      <c r="R260" s="1"/>
      <c r="S260" s="1"/>
      <c r="T260" s="1"/>
      <c r="U260" s="8"/>
      <c r="V260" s="1"/>
      <c r="W260" s="1"/>
      <c r="X260" s="1"/>
    </row>
    <row r="261" spans="1:24" ht="15.75" customHeight="1" x14ac:dyDescent="0.2">
      <c r="A261" s="1" t="s">
        <v>677</v>
      </c>
      <c r="B261" s="1" t="s">
        <v>678</v>
      </c>
      <c r="C261" s="1" t="s">
        <v>679</v>
      </c>
      <c r="D261" s="2" t="s">
        <v>678</v>
      </c>
      <c r="E261" s="1">
        <v>1</v>
      </c>
      <c r="F261" s="1">
        <v>1</v>
      </c>
      <c r="G261" s="32" t="s">
        <v>803</v>
      </c>
      <c r="R261" s="1"/>
      <c r="S261" s="1"/>
      <c r="T261" s="1"/>
      <c r="U261" s="2"/>
      <c r="V261" s="1"/>
      <c r="W261" s="1"/>
      <c r="X261" s="32"/>
    </row>
    <row r="262" spans="1:24" ht="15.75" customHeight="1" x14ac:dyDescent="0.2">
      <c r="A262" s="1" t="s">
        <v>680</v>
      </c>
      <c r="B262" s="1" t="s">
        <v>681</v>
      </c>
      <c r="C262" s="1" t="s">
        <v>681</v>
      </c>
      <c r="D262" s="2" t="s">
        <v>681</v>
      </c>
      <c r="E262" s="1">
        <v>1</v>
      </c>
      <c r="F262" s="1">
        <v>1</v>
      </c>
      <c r="G262" s="1" t="s">
        <v>804</v>
      </c>
      <c r="R262" s="1"/>
      <c r="S262" s="1"/>
      <c r="T262" s="1"/>
      <c r="U262" s="2"/>
      <c r="V262" s="1"/>
      <c r="W262" s="1"/>
      <c r="X262" s="1"/>
    </row>
    <row r="263" spans="1:24" ht="15.75" customHeight="1" x14ac:dyDescent="0.2">
      <c r="A263" s="1" t="s">
        <v>682</v>
      </c>
      <c r="B263" s="1" t="s">
        <v>683</v>
      </c>
      <c r="C263" s="1" t="s">
        <v>683</v>
      </c>
      <c r="D263" s="2" t="s">
        <v>683</v>
      </c>
      <c r="E263" s="1">
        <v>1</v>
      </c>
      <c r="F263" s="1">
        <v>1</v>
      </c>
      <c r="G263" s="1" t="s">
        <v>804</v>
      </c>
      <c r="R263" s="1"/>
      <c r="S263" s="1"/>
      <c r="T263" s="1"/>
      <c r="U263" s="2"/>
      <c r="V263" s="1"/>
      <c r="W263" s="1"/>
      <c r="X263" s="1"/>
    </row>
    <row r="264" spans="1:24" ht="15.75" customHeight="1" x14ac:dyDescent="0.2">
      <c r="A264" s="1" t="s">
        <v>684</v>
      </c>
      <c r="B264" s="1" t="s">
        <v>685</v>
      </c>
      <c r="C264" s="1" t="s">
        <v>685</v>
      </c>
      <c r="D264" s="2" t="s">
        <v>685</v>
      </c>
      <c r="E264" s="1">
        <v>1</v>
      </c>
      <c r="F264" s="1">
        <v>1</v>
      </c>
      <c r="G264" s="1" t="s">
        <v>804</v>
      </c>
      <c r="R264" s="1"/>
      <c r="S264" s="1"/>
      <c r="T264" s="1"/>
      <c r="U264" s="2"/>
      <c r="V264" s="1"/>
      <c r="W264" s="1"/>
      <c r="X264" s="1"/>
    </row>
    <row r="265" spans="1:24" ht="15.75" customHeight="1" x14ac:dyDescent="0.2">
      <c r="A265" s="1" t="s">
        <v>686</v>
      </c>
      <c r="B265" s="1" t="s">
        <v>687</v>
      </c>
      <c r="C265" s="1" t="s">
        <v>687</v>
      </c>
      <c r="D265" s="2" t="s">
        <v>687</v>
      </c>
      <c r="E265" s="1">
        <v>1</v>
      </c>
      <c r="F265" s="1">
        <v>1</v>
      </c>
      <c r="G265" s="1" t="s">
        <v>804</v>
      </c>
      <c r="R265" s="1"/>
      <c r="S265" s="1"/>
      <c r="T265" s="1"/>
      <c r="U265" s="2"/>
      <c r="V265" s="1"/>
      <c r="W265" s="1"/>
      <c r="X265" s="1"/>
    </row>
    <row r="266" spans="1:24" ht="15.75" customHeight="1" x14ac:dyDescent="0.2">
      <c r="A266" s="1" t="s">
        <v>688</v>
      </c>
      <c r="B266" s="1" t="s">
        <v>689</v>
      </c>
      <c r="C266" s="1" t="s">
        <v>689</v>
      </c>
      <c r="D266" s="2" t="s">
        <v>689</v>
      </c>
      <c r="E266" s="1" t="s">
        <v>493</v>
      </c>
      <c r="F266" s="1" t="s">
        <v>493</v>
      </c>
      <c r="G266" s="1" t="s">
        <v>804</v>
      </c>
      <c r="R266" s="1"/>
      <c r="S266" s="1"/>
      <c r="T266" s="1"/>
      <c r="U266" s="2"/>
      <c r="V266" s="1"/>
      <c r="W266" s="1"/>
      <c r="X266" s="1"/>
    </row>
    <row r="267" spans="1:24" ht="15.75" customHeight="1" x14ac:dyDescent="0.2">
      <c r="A267" s="1" t="s">
        <v>690</v>
      </c>
      <c r="B267" s="1" t="s">
        <v>691</v>
      </c>
      <c r="C267" s="1" t="s">
        <v>691</v>
      </c>
      <c r="D267" s="2" t="s">
        <v>691</v>
      </c>
      <c r="E267" s="1">
        <v>1</v>
      </c>
      <c r="F267" s="1">
        <v>1</v>
      </c>
      <c r="G267" s="1" t="s">
        <v>804</v>
      </c>
      <c r="R267" s="1"/>
      <c r="S267" s="1"/>
      <c r="T267" s="1"/>
      <c r="U267" s="2"/>
      <c r="V267" s="1"/>
      <c r="W267" s="1"/>
      <c r="X267" s="1"/>
    </row>
    <row r="268" spans="1:24" ht="15.75" customHeight="1" x14ac:dyDescent="0.2">
      <c r="A268" s="1" t="s">
        <v>692</v>
      </c>
      <c r="B268" s="1" t="s">
        <v>693</v>
      </c>
      <c r="C268" s="1" t="s">
        <v>693</v>
      </c>
      <c r="D268" s="2" t="s">
        <v>693</v>
      </c>
      <c r="E268" s="1">
        <v>1</v>
      </c>
      <c r="F268" s="1">
        <v>1</v>
      </c>
      <c r="G268" s="1" t="s">
        <v>804</v>
      </c>
      <c r="R268" s="1"/>
      <c r="S268" s="1"/>
      <c r="T268" s="1"/>
      <c r="U268" s="2"/>
      <c r="V268" s="1"/>
      <c r="W268" s="1"/>
      <c r="X268" s="1"/>
    </row>
    <row r="269" spans="1:24" ht="15.75" customHeight="1" x14ac:dyDescent="0.2">
      <c r="A269" s="1" t="s">
        <v>694</v>
      </c>
      <c r="B269" s="1" t="s">
        <v>695</v>
      </c>
      <c r="C269" s="1" t="s">
        <v>695</v>
      </c>
      <c r="D269" s="2" t="s">
        <v>695</v>
      </c>
      <c r="E269" s="1">
        <v>1</v>
      </c>
      <c r="F269" s="1">
        <v>1</v>
      </c>
      <c r="G269" s="1" t="s">
        <v>804</v>
      </c>
      <c r="R269" s="1"/>
      <c r="S269" s="1"/>
      <c r="T269" s="1"/>
      <c r="U269" s="2"/>
      <c r="V269" s="1"/>
      <c r="W269" s="1"/>
      <c r="X269" s="1"/>
    </row>
    <row r="270" spans="1:24" ht="15.75" customHeight="1" x14ac:dyDescent="0.2">
      <c r="A270" s="1" t="s">
        <v>696</v>
      </c>
      <c r="B270" s="1" t="s">
        <v>697</v>
      </c>
      <c r="C270" s="1" t="s">
        <v>697</v>
      </c>
      <c r="D270" s="2" t="s">
        <v>698</v>
      </c>
      <c r="E270" s="1">
        <v>1</v>
      </c>
      <c r="F270" s="1">
        <v>1</v>
      </c>
      <c r="G270" s="1" t="s">
        <v>804</v>
      </c>
      <c r="R270" s="1"/>
      <c r="S270" s="1"/>
      <c r="T270" s="1"/>
      <c r="U270" s="2"/>
      <c r="V270" s="1"/>
      <c r="W270" s="1"/>
      <c r="X270" s="1"/>
    </row>
    <row r="271" spans="1:24" ht="15.75" customHeight="1" x14ac:dyDescent="0.2">
      <c r="A271" s="1" t="s">
        <v>699</v>
      </c>
      <c r="B271" s="1" t="s">
        <v>700</v>
      </c>
      <c r="C271" s="1" t="s">
        <v>700</v>
      </c>
      <c r="D271" s="2" t="s">
        <v>700</v>
      </c>
      <c r="E271" s="1">
        <v>1</v>
      </c>
      <c r="F271" s="1">
        <v>1</v>
      </c>
      <c r="G271" s="1" t="s">
        <v>804</v>
      </c>
      <c r="R271" s="1"/>
      <c r="S271" s="1"/>
      <c r="T271" s="1"/>
      <c r="U271" s="2"/>
      <c r="V271" s="1"/>
      <c r="W271" s="1"/>
      <c r="X271" s="1"/>
    </row>
    <row r="272" spans="1:24" ht="15.75" customHeight="1" x14ac:dyDescent="0.2">
      <c r="A272" s="1" t="s">
        <v>701</v>
      </c>
      <c r="B272" s="1" t="s">
        <v>702</v>
      </c>
      <c r="C272" s="1" t="s">
        <v>703</v>
      </c>
      <c r="D272" s="2" t="s">
        <v>702</v>
      </c>
      <c r="E272" s="1">
        <v>1</v>
      </c>
      <c r="F272" s="1">
        <v>1</v>
      </c>
      <c r="G272" s="1" t="s">
        <v>803</v>
      </c>
      <c r="R272" s="1"/>
      <c r="S272" s="1"/>
      <c r="T272" s="1"/>
      <c r="U272" s="2"/>
      <c r="V272" s="1"/>
      <c r="W272" s="1"/>
      <c r="X272" s="1"/>
    </row>
    <row r="273" spans="1:24" ht="15.75" customHeight="1" x14ac:dyDescent="0.2">
      <c r="A273" s="1" t="s">
        <v>704</v>
      </c>
      <c r="B273" s="1" t="s">
        <v>705</v>
      </c>
      <c r="C273" s="1" t="s">
        <v>705</v>
      </c>
      <c r="D273" s="2" t="s">
        <v>705</v>
      </c>
      <c r="E273" s="1">
        <v>1</v>
      </c>
      <c r="F273" s="1">
        <v>1</v>
      </c>
      <c r="G273" s="1" t="s">
        <v>804</v>
      </c>
      <c r="R273" s="1"/>
      <c r="S273" s="1"/>
      <c r="T273" s="1"/>
      <c r="U273" s="2"/>
      <c r="V273" s="1"/>
      <c r="W273" s="1"/>
      <c r="X273" s="1"/>
    </row>
    <row r="274" spans="1:24" ht="15.75" customHeight="1" x14ac:dyDescent="0.2">
      <c r="A274" s="1" t="s">
        <v>706</v>
      </c>
      <c r="B274" s="1" t="s">
        <v>707</v>
      </c>
      <c r="C274" s="1" t="s">
        <v>707</v>
      </c>
      <c r="D274" s="2" t="s">
        <v>707</v>
      </c>
      <c r="E274" s="1">
        <v>1</v>
      </c>
      <c r="F274" s="1">
        <v>1</v>
      </c>
      <c r="G274" s="1" t="s">
        <v>804</v>
      </c>
      <c r="R274" s="1"/>
      <c r="S274" s="1"/>
      <c r="T274" s="1"/>
      <c r="U274" s="2"/>
      <c r="V274" s="1"/>
      <c r="W274" s="1"/>
      <c r="X274" s="1"/>
    </row>
    <row r="275" spans="1:24" ht="15.75" customHeight="1" x14ac:dyDescent="0.2">
      <c r="A275" s="1" t="s">
        <v>708</v>
      </c>
      <c r="B275" s="1" t="s">
        <v>709</v>
      </c>
      <c r="C275" s="1" t="s">
        <v>710</v>
      </c>
      <c r="D275" s="2" t="s">
        <v>709</v>
      </c>
      <c r="E275" s="1" t="s">
        <v>15</v>
      </c>
      <c r="F275" s="1" t="s">
        <v>15</v>
      </c>
      <c r="G275" s="1" t="s">
        <v>803</v>
      </c>
      <c r="R275" s="1"/>
      <c r="S275" s="1"/>
      <c r="T275" s="1"/>
      <c r="U275" s="2"/>
      <c r="V275" s="1"/>
      <c r="W275" s="1"/>
      <c r="X275" s="1"/>
    </row>
    <row r="276" spans="1:24" ht="15.75" customHeight="1" x14ac:dyDescent="0.2">
      <c r="A276" s="1" t="s">
        <v>711</v>
      </c>
      <c r="B276" s="1" t="s">
        <v>712</v>
      </c>
      <c r="C276" s="1" t="s">
        <v>712</v>
      </c>
      <c r="D276" s="2" t="s">
        <v>712</v>
      </c>
      <c r="E276" s="1">
        <v>1</v>
      </c>
      <c r="F276" s="1">
        <v>1</v>
      </c>
      <c r="G276" s="1" t="s">
        <v>804</v>
      </c>
      <c r="R276" s="1"/>
      <c r="S276" s="1"/>
      <c r="T276" s="1"/>
      <c r="U276" s="2"/>
      <c r="V276" s="1"/>
      <c r="W276" s="1"/>
      <c r="X276" s="1"/>
    </row>
    <row r="277" spans="1:24" ht="15.75" customHeight="1" x14ac:dyDescent="0.2">
      <c r="A277" s="1" t="s">
        <v>713</v>
      </c>
      <c r="B277" s="1" t="s">
        <v>714</v>
      </c>
      <c r="C277" s="1" t="s">
        <v>714</v>
      </c>
      <c r="D277" s="2" t="s">
        <v>714</v>
      </c>
      <c r="E277" s="1">
        <v>1</v>
      </c>
      <c r="F277" s="1">
        <v>1</v>
      </c>
      <c r="G277" s="1" t="s">
        <v>804</v>
      </c>
      <c r="R277" s="1"/>
      <c r="S277" s="1"/>
      <c r="T277" s="1"/>
      <c r="U277" s="2"/>
      <c r="V277" s="1"/>
      <c r="W277" s="1"/>
      <c r="X277" s="1"/>
    </row>
    <row r="278" spans="1:24" ht="15.75" customHeight="1" x14ac:dyDescent="0.2">
      <c r="A278" s="1" t="s">
        <v>715</v>
      </c>
      <c r="B278" s="1" t="s">
        <v>716</v>
      </c>
      <c r="C278" s="1" t="s">
        <v>717</v>
      </c>
      <c r="D278" s="2" t="s">
        <v>717</v>
      </c>
      <c r="E278" s="1">
        <v>1</v>
      </c>
      <c r="F278" s="1">
        <v>1</v>
      </c>
      <c r="G278" s="1" t="s">
        <v>803</v>
      </c>
      <c r="R278" s="1"/>
      <c r="S278" s="1"/>
      <c r="T278" s="1"/>
      <c r="U278" s="2"/>
      <c r="V278" s="1"/>
      <c r="W278" s="1"/>
      <c r="X278" s="1"/>
    </row>
    <row r="279" spans="1:24" ht="15.75" customHeight="1" x14ac:dyDescent="0.2">
      <c r="A279" s="1" t="s">
        <v>718</v>
      </c>
      <c r="B279" s="1" t="s">
        <v>719</v>
      </c>
      <c r="C279" s="1" t="s">
        <v>719</v>
      </c>
      <c r="D279" s="2" t="s">
        <v>720</v>
      </c>
      <c r="E279" s="1">
        <v>1</v>
      </c>
      <c r="F279" s="1">
        <v>1</v>
      </c>
      <c r="G279" s="1" t="s">
        <v>804</v>
      </c>
      <c r="R279" s="1"/>
      <c r="S279" s="1"/>
      <c r="T279" s="1"/>
      <c r="U279" s="2"/>
      <c r="V279" s="1"/>
      <c r="W279" s="1"/>
      <c r="X279" s="1"/>
    </row>
    <row r="280" spans="1:24" ht="15.75" customHeight="1" x14ac:dyDescent="0.2">
      <c r="A280" s="1" t="s">
        <v>721</v>
      </c>
      <c r="B280" s="1" t="s">
        <v>722</v>
      </c>
      <c r="C280" s="1" t="s">
        <v>722</v>
      </c>
      <c r="D280" s="2" t="s">
        <v>722</v>
      </c>
      <c r="E280" s="1">
        <v>1</v>
      </c>
      <c r="F280" s="1">
        <v>1</v>
      </c>
      <c r="G280" s="1" t="s">
        <v>804</v>
      </c>
      <c r="R280" s="1"/>
      <c r="S280" s="1"/>
      <c r="T280" s="1"/>
      <c r="U280" s="2"/>
      <c r="V280" s="1"/>
      <c r="W280" s="1"/>
      <c r="X280" s="1"/>
    </row>
    <row r="281" spans="1:24" ht="15.75" customHeight="1" x14ac:dyDescent="0.2">
      <c r="A281" s="1" t="s">
        <v>723</v>
      </c>
      <c r="B281" s="1" t="s">
        <v>724</v>
      </c>
      <c r="C281" s="1" t="s">
        <v>724</v>
      </c>
      <c r="D281" s="2" t="s">
        <v>724</v>
      </c>
      <c r="E281" s="1">
        <v>1</v>
      </c>
      <c r="F281" s="1">
        <v>1</v>
      </c>
      <c r="G281" s="1" t="s">
        <v>804</v>
      </c>
      <c r="R281" s="1"/>
      <c r="S281" s="1"/>
      <c r="T281" s="1"/>
      <c r="U281" s="2"/>
      <c r="V281" s="1"/>
      <c r="W281" s="1"/>
      <c r="X281" s="1"/>
    </row>
    <row r="282" spans="1:24" ht="15.75" customHeight="1" x14ac:dyDescent="0.2">
      <c r="A282" s="1" t="s">
        <v>725</v>
      </c>
      <c r="B282" s="1" t="s">
        <v>726</v>
      </c>
      <c r="C282" s="1" t="s">
        <v>726</v>
      </c>
      <c r="D282" s="2" t="s">
        <v>726</v>
      </c>
      <c r="E282" s="1">
        <v>1</v>
      </c>
      <c r="F282" s="1">
        <v>1</v>
      </c>
      <c r="G282" s="1" t="s">
        <v>804</v>
      </c>
      <c r="R282" s="1"/>
      <c r="S282" s="1"/>
      <c r="T282" s="1"/>
      <c r="U282" s="2"/>
      <c r="V282" s="1"/>
      <c r="W282" s="1"/>
      <c r="X282" s="1"/>
    </row>
    <row r="283" spans="1:24" ht="15.75" customHeight="1" x14ac:dyDescent="0.2">
      <c r="A283" s="1" t="s">
        <v>727</v>
      </c>
      <c r="B283" s="1" t="s">
        <v>728</v>
      </c>
      <c r="C283" s="1" t="s">
        <v>729</v>
      </c>
      <c r="D283" s="2" t="s">
        <v>728</v>
      </c>
      <c r="E283" s="1">
        <v>1</v>
      </c>
      <c r="F283" s="1">
        <v>1</v>
      </c>
      <c r="G283" s="1" t="s">
        <v>803</v>
      </c>
      <c r="R283" s="1"/>
      <c r="S283" s="1"/>
      <c r="T283" s="1"/>
      <c r="U283" s="2"/>
      <c r="V283" s="1"/>
      <c r="W283" s="1"/>
      <c r="X283" s="1"/>
    </row>
    <row r="284" spans="1:24" ht="15.75" customHeight="1" x14ac:dyDescent="0.2">
      <c r="A284" s="1" t="s">
        <v>730</v>
      </c>
      <c r="B284" s="1" t="s">
        <v>731</v>
      </c>
      <c r="C284" s="1" t="s">
        <v>732</v>
      </c>
      <c r="D284" s="2" t="s">
        <v>731</v>
      </c>
      <c r="E284" s="1">
        <v>1</v>
      </c>
      <c r="F284" s="1">
        <v>1</v>
      </c>
      <c r="G284" s="1" t="s">
        <v>803</v>
      </c>
      <c r="R284" s="1"/>
      <c r="S284" s="1"/>
      <c r="T284" s="1"/>
      <c r="U284" s="2"/>
      <c r="V284" s="1"/>
      <c r="W284" s="1"/>
      <c r="X284" s="1"/>
    </row>
    <row r="285" spans="1:24" ht="15.75" customHeight="1" x14ac:dyDescent="0.2">
      <c r="A285" s="1" t="s">
        <v>733</v>
      </c>
      <c r="B285" s="1" t="s">
        <v>734</v>
      </c>
      <c r="C285" s="1" t="s">
        <v>735</v>
      </c>
      <c r="D285" s="2" t="s">
        <v>734</v>
      </c>
      <c r="E285" s="1">
        <v>1</v>
      </c>
      <c r="F285" s="1">
        <v>1</v>
      </c>
      <c r="G285" s="1" t="s">
        <v>803</v>
      </c>
      <c r="R285" s="1"/>
      <c r="S285" s="1"/>
      <c r="T285" s="1"/>
      <c r="U285" s="2"/>
      <c r="V285" s="1"/>
      <c r="W285" s="1"/>
      <c r="X285" s="1"/>
    </row>
    <row r="286" spans="1:24" ht="15.75" customHeight="1" x14ac:dyDescent="0.2">
      <c r="A286" s="1" t="s">
        <v>736</v>
      </c>
      <c r="B286" s="1" t="s">
        <v>737</v>
      </c>
      <c r="C286" s="1" t="s">
        <v>737</v>
      </c>
      <c r="D286" s="2" t="s">
        <v>737</v>
      </c>
      <c r="E286" s="1">
        <v>1</v>
      </c>
      <c r="F286" s="1">
        <v>1</v>
      </c>
      <c r="G286" s="1" t="s">
        <v>804</v>
      </c>
      <c r="R286" s="1"/>
      <c r="S286" s="1"/>
      <c r="T286" s="1"/>
      <c r="U286" s="2"/>
      <c r="V286" s="1"/>
      <c r="W286" s="1"/>
      <c r="X286" s="1"/>
    </row>
    <row r="287" spans="1:24" ht="15.75" customHeight="1" x14ac:dyDescent="0.2">
      <c r="A287" s="1" t="s">
        <v>738</v>
      </c>
      <c r="B287" s="1" t="s">
        <v>739</v>
      </c>
      <c r="C287" s="1" t="s">
        <v>740</v>
      </c>
      <c r="D287" s="2" t="s">
        <v>739</v>
      </c>
      <c r="E287" s="1">
        <v>1</v>
      </c>
      <c r="F287" s="1">
        <v>1</v>
      </c>
      <c r="G287" s="1" t="s">
        <v>803</v>
      </c>
      <c r="R287" s="1"/>
      <c r="S287" s="1"/>
      <c r="T287" s="1"/>
      <c r="U287" s="2"/>
      <c r="V287" s="1"/>
      <c r="W287" s="1"/>
      <c r="X287" s="1"/>
    </row>
    <row r="288" spans="1:24" ht="15.75" customHeight="1" x14ac:dyDescent="0.2">
      <c r="A288" s="1" t="s">
        <v>741</v>
      </c>
      <c r="B288" s="1" t="s">
        <v>742</v>
      </c>
      <c r="C288" s="1" t="s">
        <v>742</v>
      </c>
      <c r="D288" s="2" t="s">
        <v>742</v>
      </c>
      <c r="E288" s="1">
        <v>1</v>
      </c>
      <c r="F288" s="1">
        <v>1</v>
      </c>
      <c r="G288" s="1" t="s">
        <v>804</v>
      </c>
      <c r="R288" s="1"/>
      <c r="S288" s="1"/>
      <c r="T288" s="1"/>
      <c r="U288" s="2"/>
      <c r="V288" s="1"/>
      <c r="W288" s="1"/>
      <c r="X288" s="1"/>
    </row>
    <row r="289" spans="1:24" ht="15.75" customHeight="1" x14ac:dyDescent="0.2">
      <c r="A289" s="1" t="s">
        <v>743</v>
      </c>
      <c r="B289" s="1" t="s">
        <v>744</v>
      </c>
      <c r="C289" s="1" t="s">
        <v>744</v>
      </c>
      <c r="D289" s="2" t="s">
        <v>744</v>
      </c>
      <c r="E289" s="1">
        <v>1</v>
      </c>
      <c r="F289" s="1">
        <v>1</v>
      </c>
      <c r="G289" s="1" t="s">
        <v>804</v>
      </c>
      <c r="R289" s="1"/>
      <c r="S289" s="1"/>
      <c r="T289" s="1"/>
      <c r="U289" s="2"/>
      <c r="V289" s="1"/>
      <c r="W289" s="1"/>
      <c r="X289" s="1"/>
    </row>
    <row r="290" spans="1:24" ht="15.75" customHeight="1" x14ac:dyDescent="0.2">
      <c r="A290" s="1" t="s">
        <v>745</v>
      </c>
      <c r="B290" s="1" t="s">
        <v>746</v>
      </c>
      <c r="C290" s="1" t="s">
        <v>746</v>
      </c>
      <c r="D290" s="2" t="s">
        <v>746</v>
      </c>
      <c r="E290" s="1">
        <v>1</v>
      </c>
      <c r="F290" s="1">
        <v>1</v>
      </c>
      <c r="G290" s="1" t="s">
        <v>804</v>
      </c>
      <c r="R290" s="1"/>
      <c r="S290" s="1"/>
      <c r="T290" s="1"/>
      <c r="U290" s="2"/>
      <c r="V290" s="1"/>
      <c r="W290" s="1"/>
      <c r="X290" s="1"/>
    </row>
    <row r="291" spans="1:24" ht="15.75" customHeight="1" x14ac:dyDescent="0.2">
      <c r="A291" s="1" t="s">
        <v>747</v>
      </c>
      <c r="B291" s="1" t="s">
        <v>748</v>
      </c>
      <c r="C291" s="1" t="s">
        <v>749</v>
      </c>
      <c r="D291" s="2" t="s">
        <v>750</v>
      </c>
      <c r="E291" s="1">
        <v>1</v>
      </c>
      <c r="F291" s="1">
        <v>1</v>
      </c>
      <c r="G291" s="1" t="s">
        <v>803</v>
      </c>
      <c r="R291" s="1"/>
      <c r="S291" s="1"/>
      <c r="T291" s="1"/>
      <c r="U291" s="2"/>
      <c r="V291" s="1"/>
      <c r="W291" s="1"/>
      <c r="X291" s="1"/>
    </row>
    <row r="292" spans="1:24" ht="15.75" customHeight="1" x14ac:dyDescent="0.2">
      <c r="A292" s="1" t="s">
        <v>751</v>
      </c>
      <c r="B292" s="1" t="s">
        <v>752</v>
      </c>
      <c r="C292" s="1" t="s">
        <v>753</v>
      </c>
      <c r="D292" s="2" t="s">
        <v>752</v>
      </c>
      <c r="E292" s="1">
        <v>1</v>
      </c>
      <c r="F292" s="1">
        <v>1</v>
      </c>
      <c r="G292" s="1" t="s">
        <v>803</v>
      </c>
      <c r="R292" s="1"/>
      <c r="S292" s="1"/>
      <c r="T292" s="1"/>
      <c r="U292" s="2"/>
      <c r="V292" s="1"/>
      <c r="W292" s="1"/>
      <c r="X292" s="1"/>
    </row>
    <row r="293" spans="1:24" ht="15.75" customHeight="1" x14ac:dyDescent="0.2">
      <c r="A293" s="1" t="s">
        <v>754</v>
      </c>
      <c r="B293" s="1" t="s">
        <v>755</v>
      </c>
      <c r="C293" s="1" t="s">
        <v>756</v>
      </c>
      <c r="D293" s="2" t="s">
        <v>755</v>
      </c>
      <c r="E293" s="1">
        <v>1</v>
      </c>
      <c r="F293" s="1">
        <v>1</v>
      </c>
      <c r="G293" s="32" t="s">
        <v>803</v>
      </c>
      <c r="R293" s="1"/>
      <c r="S293" s="1"/>
      <c r="T293" s="1"/>
      <c r="U293" s="2"/>
      <c r="V293" s="1"/>
      <c r="W293" s="1"/>
      <c r="X293" s="32"/>
    </row>
    <row r="294" spans="1:24" ht="15.75" customHeight="1" x14ac:dyDescent="0.2">
      <c r="A294" s="1" t="s">
        <v>757</v>
      </c>
      <c r="B294" s="1" t="s">
        <v>758</v>
      </c>
      <c r="C294" s="1" t="s">
        <v>758</v>
      </c>
      <c r="D294" s="2" t="s">
        <v>758</v>
      </c>
      <c r="E294" s="1">
        <v>1</v>
      </c>
      <c r="F294" s="1">
        <v>1</v>
      </c>
      <c r="G294" s="1" t="s">
        <v>804</v>
      </c>
      <c r="R294" s="1"/>
      <c r="S294" s="1"/>
      <c r="T294" s="1"/>
      <c r="U294" s="2"/>
      <c r="V294" s="1"/>
      <c r="W294" s="1"/>
      <c r="X294" s="1"/>
    </row>
    <row r="295" spans="1:24" ht="15.75" customHeight="1" x14ac:dyDescent="0.2">
      <c r="A295" s="1" t="s">
        <v>759</v>
      </c>
      <c r="B295" s="1" t="s">
        <v>760</v>
      </c>
      <c r="C295" s="1" t="s">
        <v>761</v>
      </c>
      <c r="D295" s="2" t="s">
        <v>760</v>
      </c>
      <c r="E295" s="1">
        <v>1</v>
      </c>
      <c r="F295" s="1">
        <v>1</v>
      </c>
      <c r="G295" s="32" t="s">
        <v>803</v>
      </c>
      <c r="R295" s="1"/>
      <c r="S295" s="1"/>
      <c r="T295" s="1"/>
      <c r="U295" s="2"/>
      <c r="V295" s="1"/>
      <c r="W295" s="1"/>
      <c r="X295" s="32"/>
    </row>
    <row r="296" spans="1:24" ht="15.75" customHeight="1" x14ac:dyDescent="0.2">
      <c r="A296" s="1" t="s">
        <v>762</v>
      </c>
      <c r="B296" s="1" t="s">
        <v>763</v>
      </c>
      <c r="C296" s="1" t="s">
        <v>763</v>
      </c>
      <c r="D296" s="2" t="s">
        <v>763</v>
      </c>
      <c r="E296" s="1">
        <v>1</v>
      </c>
      <c r="F296" s="1">
        <v>1</v>
      </c>
      <c r="G296" s="1" t="s">
        <v>804</v>
      </c>
      <c r="R296" s="1"/>
      <c r="S296" s="1"/>
      <c r="T296" s="1"/>
      <c r="U296" s="2"/>
      <c r="V296" s="1"/>
      <c r="W296" s="1"/>
      <c r="X296" s="1"/>
    </row>
    <row r="297" spans="1:24" ht="15.75" customHeight="1" x14ac:dyDescent="0.2">
      <c r="A297" s="1" t="s">
        <v>764</v>
      </c>
      <c r="B297" s="1" t="s">
        <v>765</v>
      </c>
      <c r="C297" s="1" t="s">
        <v>766</v>
      </c>
      <c r="D297" s="2" t="s">
        <v>765</v>
      </c>
      <c r="E297" s="1">
        <v>1</v>
      </c>
      <c r="F297" s="1">
        <v>1</v>
      </c>
      <c r="G297" s="1" t="s">
        <v>803</v>
      </c>
      <c r="R297" s="1"/>
      <c r="S297" s="1"/>
      <c r="T297" s="1"/>
      <c r="U297" s="2"/>
      <c r="V297" s="1"/>
      <c r="W297" s="1"/>
      <c r="X297" s="1"/>
    </row>
    <row r="298" spans="1:24" ht="15.75" customHeight="1" x14ac:dyDescent="0.2">
      <c r="A298" s="1" t="s">
        <v>767</v>
      </c>
      <c r="B298" s="1" t="s">
        <v>768</v>
      </c>
      <c r="C298" s="1" t="s">
        <v>769</v>
      </c>
      <c r="D298" s="2" t="s">
        <v>768</v>
      </c>
      <c r="E298" s="1" t="s">
        <v>15</v>
      </c>
      <c r="F298" s="1" t="s">
        <v>15</v>
      </c>
      <c r="G298" s="1" t="s">
        <v>803</v>
      </c>
      <c r="R298" s="1"/>
      <c r="S298" s="1"/>
      <c r="T298" s="1"/>
      <c r="U298" s="2"/>
      <c r="V298" s="1"/>
      <c r="W298" s="1"/>
      <c r="X298" s="1"/>
    </row>
    <row r="299" spans="1:24" ht="15.75" customHeight="1" x14ac:dyDescent="0.2">
      <c r="A299" s="1" t="s">
        <v>770</v>
      </c>
      <c r="B299" s="1" t="s">
        <v>771</v>
      </c>
      <c r="C299" s="1" t="s">
        <v>771</v>
      </c>
      <c r="D299" s="2" t="s">
        <v>771</v>
      </c>
      <c r="E299" s="1">
        <v>1</v>
      </c>
      <c r="F299" s="1">
        <v>1</v>
      </c>
      <c r="G299" s="1" t="s">
        <v>804</v>
      </c>
      <c r="R299" s="1"/>
      <c r="S299" s="1"/>
      <c r="T299" s="1"/>
      <c r="U299" s="2"/>
      <c r="V299" s="1"/>
      <c r="W299" s="1"/>
      <c r="X299" s="1"/>
    </row>
    <row r="300" spans="1:24" ht="15.75" customHeight="1" x14ac:dyDescent="0.2">
      <c r="A300" s="1" t="s">
        <v>772</v>
      </c>
      <c r="B300" s="1" t="s">
        <v>773</v>
      </c>
      <c r="C300" s="1" t="s">
        <v>773</v>
      </c>
      <c r="D300" s="2" t="s">
        <v>773</v>
      </c>
      <c r="E300" s="1" t="s">
        <v>23</v>
      </c>
      <c r="F300" s="1" t="s">
        <v>23</v>
      </c>
      <c r="G300" s="1" t="s">
        <v>804</v>
      </c>
      <c r="R300" s="1"/>
      <c r="S300" s="1"/>
      <c r="T300" s="1"/>
      <c r="U300" s="2"/>
      <c r="V300" s="1"/>
      <c r="W300" s="1"/>
      <c r="X300" s="1"/>
    </row>
    <row r="301" spans="1:24" ht="15.75" customHeight="1" x14ac:dyDescent="0.2">
      <c r="A301" s="1" t="s">
        <v>774</v>
      </c>
      <c r="B301" s="1" t="s">
        <v>775</v>
      </c>
      <c r="C301" s="1" t="s">
        <v>775</v>
      </c>
      <c r="D301" s="2" t="s">
        <v>775</v>
      </c>
      <c r="E301" s="1">
        <v>1</v>
      </c>
      <c r="F301" s="1">
        <v>1</v>
      </c>
      <c r="G301" s="1" t="s">
        <v>804</v>
      </c>
      <c r="R301" s="1"/>
      <c r="S301" s="1"/>
      <c r="T301" s="1"/>
      <c r="U301" s="2"/>
      <c r="V301" s="1"/>
      <c r="W301" s="1"/>
      <c r="X301" s="1"/>
    </row>
    <row r="302" spans="1:24" ht="15.75" customHeight="1" x14ac:dyDescent="0.2">
      <c r="A302" s="1" t="s">
        <v>776</v>
      </c>
      <c r="B302" s="1" t="s">
        <v>777</v>
      </c>
      <c r="C302" s="1" t="s">
        <v>778</v>
      </c>
      <c r="D302" s="2" t="s">
        <v>777</v>
      </c>
      <c r="E302" s="1">
        <v>1</v>
      </c>
      <c r="F302" s="1">
        <v>1</v>
      </c>
      <c r="G302" s="1" t="s">
        <v>803</v>
      </c>
      <c r="R302" s="1"/>
      <c r="S302" s="1"/>
      <c r="T302" s="1"/>
      <c r="U302" s="2"/>
      <c r="V302" s="1"/>
      <c r="W302" s="1"/>
      <c r="X302" s="1"/>
    </row>
    <row r="303" spans="1:24" ht="15.75" customHeight="1" x14ac:dyDescent="0.2">
      <c r="A303" s="1" t="s">
        <v>779</v>
      </c>
      <c r="B303" s="1" t="s">
        <v>780</v>
      </c>
      <c r="C303" s="1" t="s">
        <v>780</v>
      </c>
      <c r="D303" s="2" t="s">
        <v>780</v>
      </c>
      <c r="E303" s="1">
        <v>1</v>
      </c>
      <c r="F303" s="1">
        <v>1</v>
      </c>
      <c r="G303" s="1" t="s">
        <v>804</v>
      </c>
      <c r="R303" s="1"/>
      <c r="S303" s="1"/>
      <c r="T303" s="1"/>
      <c r="U303" s="2"/>
      <c r="V303" s="1"/>
      <c r="W303" s="1"/>
      <c r="X303" s="1"/>
    </row>
    <row r="304" spans="1:24" ht="15.75" customHeight="1" x14ac:dyDescent="0.2">
      <c r="A304" s="1" t="s">
        <v>781</v>
      </c>
      <c r="B304" s="1" t="s">
        <v>782</v>
      </c>
      <c r="C304" s="1" t="s">
        <v>782</v>
      </c>
      <c r="D304" s="2" t="s">
        <v>782</v>
      </c>
      <c r="E304" s="1">
        <v>1</v>
      </c>
      <c r="F304" s="1">
        <v>1</v>
      </c>
      <c r="G304" s="1" t="s">
        <v>804</v>
      </c>
      <c r="R304" s="1"/>
      <c r="S304" s="1"/>
      <c r="T304" s="1"/>
      <c r="U304" s="2"/>
      <c r="V304" s="1"/>
      <c r="W304" s="1"/>
      <c r="X304" s="1"/>
    </row>
    <row r="305" spans="1:24" ht="15.75" customHeight="1" x14ac:dyDescent="0.2">
      <c r="A305" s="1" t="s">
        <v>783</v>
      </c>
      <c r="B305" s="1" t="s">
        <v>784</v>
      </c>
      <c r="C305" s="1" t="s">
        <v>784</v>
      </c>
      <c r="D305" s="2" t="s">
        <v>784</v>
      </c>
      <c r="E305" s="1">
        <v>1</v>
      </c>
      <c r="F305" s="1">
        <v>1</v>
      </c>
      <c r="G305" s="1" t="s">
        <v>804</v>
      </c>
      <c r="R305" s="1"/>
      <c r="S305" s="1"/>
      <c r="T305" s="1"/>
      <c r="U305" s="2"/>
      <c r="V305" s="1"/>
      <c r="W305" s="1"/>
      <c r="X305" s="1"/>
    </row>
    <row r="306" spans="1:24" ht="15.75" customHeight="1" x14ac:dyDescent="0.2">
      <c r="A306" s="1" t="s">
        <v>785</v>
      </c>
      <c r="B306" s="1" t="s">
        <v>786</v>
      </c>
      <c r="C306" s="1" t="s">
        <v>786</v>
      </c>
      <c r="D306" s="2" t="s">
        <v>786</v>
      </c>
      <c r="E306" s="1">
        <v>1</v>
      </c>
      <c r="F306" s="1">
        <v>1</v>
      </c>
      <c r="G306" s="1" t="s">
        <v>804</v>
      </c>
      <c r="R306" s="1"/>
      <c r="S306" s="1"/>
      <c r="T306" s="1"/>
      <c r="U306" s="2"/>
      <c r="V306" s="1"/>
      <c r="W306" s="1"/>
      <c r="X306" s="1"/>
    </row>
    <row r="307" spans="1:24" ht="15.75" customHeight="1" x14ac:dyDescent="0.2">
      <c r="A307" s="1" t="s">
        <v>787</v>
      </c>
      <c r="B307" s="1" t="s">
        <v>788</v>
      </c>
      <c r="C307" s="1" t="s">
        <v>788</v>
      </c>
      <c r="D307" s="2" t="s">
        <v>788</v>
      </c>
      <c r="E307" s="1" t="s">
        <v>15</v>
      </c>
      <c r="F307" s="1" t="s">
        <v>15</v>
      </c>
      <c r="G307" s="1" t="s">
        <v>804</v>
      </c>
      <c r="R307" s="1"/>
      <c r="S307" s="1"/>
      <c r="T307" s="1"/>
      <c r="U307" s="2"/>
      <c r="V307" s="1"/>
      <c r="W307" s="1"/>
      <c r="X307" s="1"/>
    </row>
    <row r="308" spans="1:24" ht="15.75" customHeight="1" x14ac:dyDescent="0.2">
      <c r="A308" s="1" t="s">
        <v>789</v>
      </c>
      <c r="B308" s="1" t="s">
        <v>790</v>
      </c>
      <c r="C308" s="1" t="s">
        <v>790</v>
      </c>
      <c r="D308" s="2" t="s">
        <v>790</v>
      </c>
      <c r="E308" s="1">
        <v>1</v>
      </c>
      <c r="F308" s="1">
        <v>1</v>
      </c>
      <c r="G308" s="1" t="s">
        <v>804</v>
      </c>
      <c r="R308" s="1"/>
      <c r="S308" s="1"/>
      <c r="T308" s="1"/>
      <c r="U308" s="2"/>
      <c r="V308" s="1"/>
      <c r="W308" s="1"/>
      <c r="X308" s="1"/>
    </row>
    <row r="309" spans="1:24" ht="15.75" customHeight="1" x14ac:dyDescent="0.2">
      <c r="A309" s="1" t="s">
        <v>791</v>
      </c>
      <c r="B309" s="1" t="s">
        <v>792</v>
      </c>
      <c r="C309" s="1" t="s">
        <v>792</v>
      </c>
      <c r="D309" s="2" t="s">
        <v>792</v>
      </c>
      <c r="E309" s="1">
        <v>1</v>
      </c>
      <c r="F309" s="1">
        <v>1</v>
      </c>
      <c r="G309" s="1" t="s">
        <v>804</v>
      </c>
      <c r="R309" s="1"/>
      <c r="S309" s="1"/>
      <c r="T309" s="1"/>
      <c r="U309" s="2"/>
      <c r="V309" s="1"/>
      <c r="W309" s="1"/>
      <c r="X309" s="1"/>
    </row>
    <row r="310" spans="1:24" ht="15.75" customHeight="1" x14ac:dyDescent="0.2">
      <c r="A310" s="1" t="s">
        <v>793</v>
      </c>
      <c r="B310" s="1" t="s">
        <v>794</v>
      </c>
      <c r="C310" s="1" t="s">
        <v>794</v>
      </c>
      <c r="D310" s="2" t="s">
        <v>794</v>
      </c>
      <c r="E310" s="1">
        <v>1</v>
      </c>
      <c r="F310" s="1">
        <v>1</v>
      </c>
      <c r="G310" s="1" t="s">
        <v>804</v>
      </c>
      <c r="R310" s="1"/>
      <c r="S310" s="1"/>
      <c r="T310" s="1"/>
      <c r="U310" s="2"/>
      <c r="V310" s="1"/>
      <c r="W310" s="1"/>
      <c r="X310" s="1"/>
    </row>
    <row r="311" spans="1:24" ht="15.75" customHeight="1" x14ac:dyDescent="0.2">
      <c r="A311" s="1" t="s">
        <v>795</v>
      </c>
      <c r="B311" s="1" t="s">
        <v>796</v>
      </c>
      <c r="C311" s="1" t="s">
        <v>796</v>
      </c>
      <c r="D311" s="2" t="s">
        <v>796</v>
      </c>
      <c r="E311" s="1">
        <v>1</v>
      </c>
      <c r="F311" s="1">
        <v>1</v>
      </c>
      <c r="G311" s="1" t="s">
        <v>804</v>
      </c>
      <c r="R311" s="1"/>
      <c r="S311" s="1"/>
      <c r="T311" s="1"/>
      <c r="U311" s="2"/>
      <c r="V311" s="1"/>
      <c r="W311" s="1"/>
      <c r="X311" s="1"/>
    </row>
    <row r="312" spans="1:24" ht="15.75" customHeight="1" x14ac:dyDescent="0.2">
      <c r="A312" s="1" t="s">
        <v>797</v>
      </c>
      <c r="B312" s="1" t="s">
        <v>798</v>
      </c>
      <c r="C312" s="1" t="s">
        <v>798</v>
      </c>
      <c r="D312" s="2" t="s">
        <v>798</v>
      </c>
      <c r="E312" s="1">
        <v>1</v>
      </c>
      <c r="F312" s="1">
        <v>1</v>
      </c>
      <c r="G312" s="1" t="s">
        <v>804</v>
      </c>
      <c r="R312" s="1"/>
      <c r="S312" s="1"/>
      <c r="T312" s="1"/>
      <c r="U312" s="2"/>
      <c r="V312" s="1"/>
      <c r="W312" s="1"/>
      <c r="X312" s="1"/>
    </row>
    <row r="313" spans="1:24" ht="15.75" customHeight="1" x14ac:dyDescent="0.25">
      <c r="A313" s="1"/>
      <c r="B313" s="1"/>
      <c r="C313" s="1"/>
      <c r="D313" s="90" t="s">
        <v>827</v>
      </c>
      <c r="E313" s="100">
        <f>SUM(F2:F312)/311</f>
        <v>0.8038585209003215</v>
      </c>
      <c r="F313" s="101">
        <f>SUM(E2:E312)/311</f>
        <v>0.83922829581993574</v>
      </c>
      <c r="G313" s="1"/>
    </row>
    <row r="314" spans="1:24" ht="15.75" customHeight="1" x14ac:dyDescent="0.25">
      <c r="A314" s="1"/>
      <c r="B314" s="1"/>
      <c r="C314" s="1"/>
      <c r="D314" s="99"/>
      <c r="E314" s="30" t="s">
        <v>823</v>
      </c>
      <c r="F314" s="30" t="s">
        <v>824</v>
      </c>
    </row>
    <row r="315" spans="1:24" ht="15.75" customHeight="1" x14ac:dyDescent="0.2">
      <c r="A315" s="1"/>
      <c r="B315" s="1"/>
      <c r="C315" s="1"/>
      <c r="D315" s="90" t="s">
        <v>828</v>
      </c>
      <c r="E315" s="86" t="s">
        <v>829</v>
      </c>
      <c r="F315" s="86" t="s">
        <v>830</v>
      </c>
    </row>
    <row r="316" spans="1:24" ht="15.75" customHeight="1" x14ac:dyDescent="0.2">
      <c r="D316" s="90" t="s">
        <v>831</v>
      </c>
      <c r="E316" s="87" t="s">
        <v>836</v>
      </c>
      <c r="F316" s="88" t="s">
        <v>835</v>
      </c>
      <c r="G316" s="1"/>
    </row>
    <row r="317" spans="1:24" ht="15.75" customHeight="1" x14ac:dyDescent="0.2">
      <c r="D317" s="90" t="s">
        <v>832</v>
      </c>
      <c r="E317" s="89" t="s">
        <v>833</v>
      </c>
      <c r="F317" s="102" t="s">
        <v>834</v>
      </c>
      <c r="G317" s="1"/>
    </row>
    <row r="318" spans="1:24" ht="15.75" customHeight="1" x14ac:dyDescent="0.2">
      <c r="E318" s="2"/>
      <c r="G318" s="1"/>
    </row>
    <row r="319" spans="1:24" ht="15.75" customHeight="1" x14ac:dyDescent="0.2">
      <c r="E319" s="2"/>
      <c r="G319" s="1"/>
    </row>
    <row r="320" spans="1:24" ht="15.75" customHeight="1" x14ac:dyDescent="0.2">
      <c r="A320" s="4" t="s">
        <v>799</v>
      </c>
      <c r="E320" s="2"/>
      <c r="G320" s="1"/>
    </row>
    <row r="321" spans="5:7" ht="15.75" customHeight="1" x14ac:dyDescent="0.2">
      <c r="E321" s="2"/>
      <c r="G321" s="1"/>
    </row>
    <row r="322" spans="5:7" ht="15.75" customHeight="1" x14ac:dyDescent="0.2">
      <c r="E322" s="2"/>
      <c r="G322" s="1"/>
    </row>
    <row r="323" spans="5:7" ht="15.75" customHeight="1" x14ac:dyDescent="0.2">
      <c r="E323" s="2"/>
      <c r="G323" s="1"/>
    </row>
    <row r="324" spans="5:7" ht="15.75" customHeight="1" x14ac:dyDescent="0.2">
      <c r="E324" s="2"/>
      <c r="G324" s="1"/>
    </row>
    <row r="325" spans="5:7" ht="15.75" customHeight="1" x14ac:dyDescent="0.2">
      <c r="E325" s="2"/>
      <c r="G325" s="1"/>
    </row>
    <row r="326" spans="5:7" ht="15.75" customHeight="1" x14ac:dyDescent="0.2">
      <c r="E326" s="2"/>
      <c r="G326" s="1"/>
    </row>
    <row r="327" spans="5:7" ht="15.75" customHeight="1" x14ac:dyDescent="0.2">
      <c r="E327" s="2"/>
      <c r="G327" s="1"/>
    </row>
    <row r="328" spans="5:7" ht="15.75" customHeight="1" x14ac:dyDescent="0.2">
      <c r="E328" s="2"/>
      <c r="G328" s="1"/>
    </row>
    <row r="329" spans="5:7" ht="15.75" customHeight="1" x14ac:dyDescent="0.2">
      <c r="E329" s="2"/>
      <c r="G329" s="1"/>
    </row>
    <row r="330" spans="5:7" ht="15.75" customHeight="1" x14ac:dyDescent="0.2">
      <c r="E330" s="2"/>
      <c r="G330" s="1"/>
    </row>
    <row r="331" spans="5:7" ht="15.75" customHeight="1" x14ac:dyDescent="0.2">
      <c r="E331" s="2"/>
      <c r="G331" s="1"/>
    </row>
    <row r="332" spans="5:7" ht="15.75" customHeight="1" x14ac:dyDescent="0.2">
      <c r="E332" s="2"/>
      <c r="G332" s="1"/>
    </row>
    <row r="333" spans="5:7" ht="15.75" customHeight="1" x14ac:dyDescent="0.2">
      <c r="E333" s="2"/>
      <c r="G333" s="1"/>
    </row>
    <row r="334" spans="5:7" ht="15.75" customHeight="1" x14ac:dyDescent="0.2">
      <c r="E334" s="2"/>
      <c r="G334" s="1"/>
    </row>
    <row r="335" spans="5:7" ht="15.75" customHeight="1" x14ac:dyDescent="0.2">
      <c r="E335" s="2"/>
      <c r="G335" s="1"/>
    </row>
    <row r="336" spans="5:7" ht="15.75" customHeight="1" x14ac:dyDescent="0.2">
      <c r="E336" s="2"/>
      <c r="G336" s="1"/>
    </row>
    <row r="337" spans="5:7" ht="15.75" customHeight="1" x14ac:dyDescent="0.2">
      <c r="E337" s="2"/>
      <c r="G337" s="1"/>
    </row>
    <row r="338" spans="5:7" ht="15.75" customHeight="1" x14ac:dyDescent="0.2">
      <c r="E338" s="2"/>
      <c r="G338" s="1"/>
    </row>
    <row r="339" spans="5:7" ht="15.75" customHeight="1" x14ac:dyDescent="0.2">
      <c r="E339" s="2"/>
      <c r="G339" s="1"/>
    </row>
    <row r="340" spans="5:7" ht="15.75" customHeight="1" x14ac:dyDescent="0.2">
      <c r="E340" s="2"/>
      <c r="G340" s="1"/>
    </row>
    <row r="341" spans="5:7" ht="15.75" customHeight="1" x14ac:dyDescent="0.2">
      <c r="E341" s="2"/>
      <c r="G341" s="1"/>
    </row>
    <row r="342" spans="5:7" ht="15.75" customHeight="1" x14ac:dyDescent="0.2">
      <c r="E342" s="2"/>
      <c r="G342" s="1"/>
    </row>
    <row r="343" spans="5:7" ht="15.75" customHeight="1" x14ac:dyDescent="0.2">
      <c r="E343" s="2"/>
      <c r="G343" s="1"/>
    </row>
    <row r="344" spans="5:7" ht="15.75" customHeight="1" x14ac:dyDescent="0.2">
      <c r="E344" s="2"/>
      <c r="G344" s="1"/>
    </row>
    <row r="345" spans="5:7" ht="15.75" customHeight="1" x14ac:dyDescent="0.2">
      <c r="E345" s="2"/>
      <c r="G345" s="1"/>
    </row>
    <row r="346" spans="5:7" ht="15.75" customHeight="1" x14ac:dyDescent="0.2">
      <c r="E346" s="2"/>
      <c r="G346" s="1"/>
    </row>
    <row r="347" spans="5:7" ht="15.75" customHeight="1" x14ac:dyDescent="0.2">
      <c r="E347" s="2"/>
      <c r="G347" s="1"/>
    </row>
    <row r="348" spans="5:7" ht="15.75" customHeight="1" x14ac:dyDescent="0.2">
      <c r="E348" s="2"/>
      <c r="G348" s="1"/>
    </row>
    <row r="349" spans="5:7" ht="15.75" customHeight="1" x14ac:dyDescent="0.2">
      <c r="E349" s="2"/>
      <c r="G349" s="1"/>
    </row>
    <row r="350" spans="5:7" ht="15.75" customHeight="1" x14ac:dyDescent="0.2">
      <c r="E350" s="2"/>
      <c r="G350" s="1"/>
    </row>
    <row r="351" spans="5:7" ht="15.75" customHeight="1" x14ac:dyDescent="0.2">
      <c r="E351" s="2"/>
      <c r="G351" s="1"/>
    </row>
    <row r="352" spans="5:7" ht="15.75" customHeight="1" x14ac:dyDescent="0.2">
      <c r="E352" s="2"/>
      <c r="G352" s="1"/>
    </row>
    <row r="353" spans="5:7" ht="15.75" customHeight="1" x14ac:dyDescent="0.2">
      <c r="E353" s="2"/>
      <c r="G353" s="1"/>
    </row>
    <row r="354" spans="5:7" ht="15.75" customHeight="1" x14ac:dyDescent="0.2">
      <c r="E354" s="2"/>
      <c r="G354" s="1"/>
    </row>
    <row r="355" spans="5:7" ht="15.75" customHeight="1" x14ac:dyDescent="0.2">
      <c r="E355" s="2"/>
      <c r="G355" s="1"/>
    </row>
    <row r="356" spans="5:7" ht="15.75" customHeight="1" x14ac:dyDescent="0.2">
      <c r="E356" s="2"/>
      <c r="G356" s="1"/>
    </row>
    <row r="357" spans="5:7" ht="15.75" customHeight="1" x14ac:dyDescent="0.2">
      <c r="E357" s="2"/>
      <c r="G357" s="1"/>
    </row>
    <row r="358" spans="5:7" ht="15.75" customHeight="1" x14ac:dyDescent="0.2">
      <c r="E358" s="2"/>
      <c r="G358" s="1"/>
    </row>
    <row r="359" spans="5:7" ht="15.75" customHeight="1" x14ac:dyDescent="0.2">
      <c r="E359" s="2"/>
      <c r="G359" s="1"/>
    </row>
    <row r="360" spans="5:7" ht="15.75" customHeight="1" x14ac:dyDescent="0.2">
      <c r="E360" s="2"/>
      <c r="G360" s="1"/>
    </row>
    <row r="361" spans="5:7" ht="15.75" customHeight="1" x14ac:dyDescent="0.2">
      <c r="E361" s="2"/>
      <c r="G361" s="1"/>
    </row>
    <row r="362" spans="5:7" ht="15.75" customHeight="1" x14ac:dyDescent="0.2">
      <c r="E362" s="2"/>
      <c r="G362" s="1"/>
    </row>
    <row r="363" spans="5:7" ht="15.75" customHeight="1" x14ac:dyDescent="0.2">
      <c r="E363" s="2"/>
      <c r="G363" s="1"/>
    </row>
    <row r="364" spans="5:7" ht="15.75" customHeight="1" x14ac:dyDescent="0.2">
      <c r="E364" s="2"/>
      <c r="G364" s="1"/>
    </row>
    <row r="365" spans="5:7" ht="15.75" customHeight="1" x14ac:dyDescent="0.2">
      <c r="E365" s="2"/>
      <c r="G365" s="1"/>
    </row>
    <row r="366" spans="5:7" ht="15.75" customHeight="1" x14ac:dyDescent="0.2">
      <c r="E366" s="2"/>
      <c r="G366" s="1"/>
    </row>
    <row r="367" spans="5:7" ht="15.75" customHeight="1" x14ac:dyDescent="0.2">
      <c r="E367" s="2"/>
      <c r="G367" s="1"/>
    </row>
    <row r="368" spans="5:7" ht="15.75" customHeight="1" x14ac:dyDescent="0.2">
      <c r="E368" s="2"/>
      <c r="G368" s="1"/>
    </row>
    <row r="369" spans="5:7" ht="15.75" customHeight="1" x14ac:dyDescent="0.2">
      <c r="E369" s="2"/>
      <c r="G369" s="1"/>
    </row>
    <row r="370" spans="5:7" ht="15.75" customHeight="1" x14ac:dyDescent="0.2">
      <c r="E370" s="2"/>
      <c r="G370" s="1"/>
    </row>
    <row r="371" spans="5:7" ht="15.75" customHeight="1" x14ac:dyDescent="0.2">
      <c r="E371" s="2"/>
      <c r="G371" s="1"/>
    </row>
    <row r="372" spans="5:7" ht="15.75" customHeight="1" x14ac:dyDescent="0.2">
      <c r="E372" s="2"/>
      <c r="G372" s="1"/>
    </row>
    <row r="373" spans="5:7" ht="15.75" customHeight="1" x14ac:dyDescent="0.2">
      <c r="E373" s="2"/>
      <c r="G373" s="1"/>
    </row>
    <row r="374" spans="5:7" ht="15.75" customHeight="1" x14ac:dyDescent="0.2">
      <c r="E374" s="2"/>
      <c r="G374" s="1"/>
    </row>
    <row r="375" spans="5:7" ht="15.75" customHeight="1" x14ac:dyDescent="0.2">
      <c r="E375" s="2"/>
      <c r="G375" s="1"/>
    </row>
    <row r="376" spans="5:7" ht="15.75" customHeight="1" x14ac:dyDescent="0.2">
      <c r="E376" s="2"/>
      <c r="G376" s="1"/>
    </row>
    <row r="377" spans="5:7" ht="15.75" customHeight="1" x14ac:dyDescent="0.2">
      <c r="E377" s="2"/>
      <c r="G377" s="1"/>
    </row>
    <row r="378" spans="5:7" ht="15.75" customHeight="1" x14ac:dyDescent="0.2">
      <c r="E378" s="2"/>
      <c r="G378" s="1"/>
    </row>
    <row r="379" spans="5:7" ht="15.75" customHeight="1" x14ac:dyDescent="0.2">
      <c r="E379" s="2"/>
      <c r="G379" s="1"/>
    </row>
    <row r="380" spans="5:7" ht="15.75" customHeight="1" x14ac:dyDescent="0.2">
      <c r="E380" s="2"/>
      <c r="G380" s="1"/>
    </row>
    <row r="381" spans="5:7" ht="15.75" customHeight="1" x14ac:dyDescent="0.2">
      <c r="E381" s="2"/>
      <c r="G381" s="1"/>
    </row>
    <row r="382" spans="5:7" ht="15.75" customHeight="1" x14ac:dyDescent="0.2">
      <c r="E382" s="2"/>
      <c r="G382" s="1"/>
    </row>
    <row r="383" spans="5:7" ht="15.75" customHeight="1" x14ac:dyDescent="0.2">
      <c r="E383" s="2"/>
      <c r="G383" s="1"/>
    </row>
    <row r="384" spans="5:7" ht="15.75" customHeight="1" x14ac:dyDescent="0.2">
      <c r="E384" s="2"/>
      <c r="G384" s="1"/>
    </row>
    <row r="385" spans="5:7" ht="15.75" customHeight="1" x14ac:dyDescent="0.2">
      <c r="E385" s="2"/>
      <c r="G385" s="1"/>
    </row>
    <row r="386" spans="5:7" ht="15.75" customHeight="1" x14ac:dyDescent="0.2">
      <c r="E386" s="2"/>
      <c r="G386" s="1"/>
    </row>
    <row r="387" spans="5:7" ht="15.75" customHeight="1" x14ac:dyDescent="0.2">
      <c r="E387" s="2"/>
      <c r="G387" s="1"/>
    </row>
    <row r="388" spans="5:7" ht="15.75" customHeight="1" x14ac:dyDescent="0.2">
      <c r="E388" s="2"/>
      <c r="G388" s="1"/>
    </row>
    <row r="389" spans="5:7" ht="15.75" customHeight="1" x14ac:dyDescent="0.2">
      <c r="E389" s="2"/>
      <c r="G389" s="1"/>
    </row>
    <row r="390" spans="5:7" ht="15.75" customHeight="1" x14ac:dyDescent="0.2">
      <c r="E390" s="2"/>
      <c r="G390" s="1"/>
    </row>
    <row r="391" spans="5:7" ht="15.75" customHeight="1" x14ac:dyDescent="0.2">
      <c r="E391" s="2"/>
      <c r="G391" s="1"/>
    </row>
    <row r="392" spans="5:7" ht="15.75" customHeight="1" x14ac:dyDescent="0.2">
      <c r="E392" s="2"/>
      <c r="G392" s="1"/>
    </row>
    <row r="393" spans="5:7" ht="15.75" customHeight="1" x14ac:dyDescent="0.2">
      <c r="E393" s="2"/>
      <c r="G393" s="1"/>
    </row>
    <row r="394" spans="5:7" ht="15.75" customHeight="1" x14ac:dyDescent="0.2">
      <c r="E394" s="2"/>
      <c r="G394" s="1"/>
    </row>
    <row r="395" spans="5:7" ht="15.75" customHeight="1" x14ac:dyDescent="0.2">
      <c r="E395" s="2"/>
      <c r="G395" s="1"/>
    </row>
    <row r="396" spans="5:7" ht="15.75" customHeight="1" x14ac:dyDescent="0.2">
      <c r="E396" s="2"/>
      <c r="G396" s="1"/>
    </row>
    <row r="397" spans="5:7" ht="15.75" customHeight="1" x14ac:dyDescent="0.2">
      <c r="E397" s="2"/>
      <c r="G397" s="1"/>
    </row>
    <row r="398" spans="5:7" ht="15.75" customHeight="1" x14ac:dyDescent="0.2">
      <c r="E398" s="2"/>
      <c r="G398" s="1"/>
    </row>
    <row r="399" spans="5:7" ht="15.75" customHeight="1" x14ac:dyDescent="0.2">
      <c r="E399" s="2"/>
      <c r="G399" s="1"/>
    </row>
    <row r="400" spans="5:7" ht="15.75" customHeight="1" x14ac:dyDescent="0.2">
      <c r="E400" s="2"/>
      <c r="G400" s="1"/>
    </row>
    <row r="401" spans="5:7" ht="15.75" customHeight="1" x14ac:dyDescent="0.2">
      <c r="E401" s="2"/>
      <c r="G401" s="1"/>
    </row>
    <row r="402" spans="5:7" ht="15.75" customHeight="1" x14ac:dyDescent="0.2">
      <c r="E402" s="2"/>
      <c r="G402" s="1"/>
    </row>
    <row r="403" spans="5:7" ht="15.75" customHeight="1" x14ac:dyDescent="0.2">
      <c r="E403" s="2"/>
      <c r="G403" s="1"/>
    </row>
    <row r="404" spans="5:7" ht="15.75" customHeight="1" x14ac:dyDescent="0.2">
      <c r="E404" s="2"/>
      <c r="G404" s="1"/>
    </row>
    <row r="405" spans="5:7" ht="15.75" customHeight="1" x14ac:dyDescent="0.2">
      <c r="E405" s="2"/>
      <c r="G405" s="1"/>
    </row>
    <row r="406" spans="5:7" ht="15.75" customHeight="1" x14ac:dyDescent="0.2">
      <c r="E406" s="2"/>
      <c r="G406" s="1"/>
    </row>
    <row r="407" spans="5:7" ht="15.75" customHeight="1" x14ac:dyDescent="0.2">
      <c r="E407" s="2"/>
      <c r="G407" s="1"/>
    </row>
    <row r="408" spans="5:7" ht="15.75" customHeight="1" x14ac:dyDescent="0.2">
      <c r="E408" s="2"/>
      <c r="G408" s="1"/>
    </row>
    <row r="409" spans="5:7" ht="15.75" customHeight="1" x14ac:dyDescent="0.2">
      <c r="E409" s="2"/>
      <c r="G409" s="1"/>
    </row>
    <row r="410" spans="5:7" ht="15.75" customHeight="1" x14ac:dyDescent="0.2">
      <c r="E410" s="2"/>
      <c r="G410" s="1"/>
    </row>
    <row r="411" spans="5:7" ht="15.75" customHeight="1" x14ac:dyDescent="0.2">
      <c r="E411" s="2"/>
      <c r="G411" s="1"/>
    </row>
    <row r="412" spans="5:7" ht="15.75" customHeight="1" x14ac:dyDescent="0.2">
      <c r="E412" s="2"/>
      <c r="G412" s="1"/>
    </row>
    <row r="413" spans="5:7" ht="15.75" customHeight="1" x14ac:dyDescent="0.2">
      <c r="E413" s="2"/>
      <c r="G413" s="1"/>
    </row>
    <row r="414" spans="5:7" ht="15.75" customHeight="1" x14ac:dyDescent="0.2">
      <c r="E414" s="2"/>
      <c r="G414" s="1"/>
    </row>
    <row r="415" spans="5:7" ht="15.75" customHeight="1" x14ac:dyDescent="0.2">
      <c r="E415" s="2"/>
      <c r="G415" s="1"/>
    </row>
    <row r="416" spans="5:7" ht="15.75" customHeight="1" x14ac:dyDescent="0.2">
      <c r="E416" s="2"/>
      <c r="G416" s="1"/>
    </row>
    <row r="417" spans="5:7" ht="15.75" customHeight="1" x14ac:dyDescent="0.2">
      <c r="E417" s="2"/>
      <c r="G417" s="1"/>
    </row>
    <row r="418" spans="5:7" ht="15.75" customHeight="1" x14ac:dyDescent="0.2">
      <c r="E418" s="2"/>
      <c r="G418" s="1"/>
    </row>
    <row r="419" spans="5:7" ht="15.75" customHeight="1" x14ac:dyDescent="0.2">
      <c r="E419" s="2"/>
      <c r="G419" s="1"/>
    </row>
    <row r="420" spans="5:7" ht="15.75" customHeight="1" x14ac:dyDescent="0.2">
      <c r="E420" s="2"/>
      <c r="G420" s="1"/>
    </row>
    <row r="421" spans="5:7" ht="15.75" customHeight="1" x14ac:dyDescent="0.2">
      <c r="E421" s="2"/>
      <c r="G421" s="1"/>
    </row>
    <row r="422" spans="5:7" ht="15.75" customHeight="1" x14ac:dyDescent="0.2">
      <c r="E422" s="2"/>
      <c r="G422" s="1"/>
    </row>
    <row r="423" spans="5:7" ht="15.75" customHeight="1" x14ac:dyDescent="0.2">
      <c r="E423" s="2"/>
      <c r="G423" s="1"/>
    </row>
    <row r="424" spans="5:7" ht="15.75" customHeight="1" x14ac:dyDescent="0.2">
      <c r="E424" s="2"/>
      <c r="G424" s="1"/>
    </row>
    <row r="425" spans="5:7" ht="15.75" customHeight="1" x14ac:dyDescent="0.2">
      <c r="E425" s="2"/>
      <c r="G425" s="1"/>
    </row>
    <row r="426" spans="5:7" ht="15.75" customHeight="1" x14ac:dyDescent="0.2">
      <c r="E426" s="2"/>
      <c r="G426" s="1"/>
    </row>
    <row r="427" spans="5:7" ht="15.75" customHeight="1" x14ac:dyDescent="0.2">
      <c r="E427" s="2"/>
      <c r="G427" s="1"/>
    </row>
    <row r="428" spans="5:7" ht="15.75" customHeight="1" x14ac:dyDescent="0.2">
      <c r="E428" s="2"/>
      <c r="G428" s="1"/>
    </row>
    <row r="429" spans="5:7" ht="15.75" customHeight="1" x14ac:dyDescent="0.2">
      <c r="E429" s="2"/>
      <c r="G429" s="1"/>
    </row>
    <row r="430" spans="5:7" ht="15.75" customHeight="1" x14ac:dyDescent="0.2">
      <c r="E430" s="2"/>
      <c r="G430" s="1"/>
    </row>
    <row r="431" spans="5:7" ht="15.75" customHeight="1" x14ac:dyDescent="0.2">
      <c r="E431" s="2"/>
      <c r="G431" s="1"/>
    </row>
    <row r="432" spans="5:7" ht="15.75" customHeight="1" x14ac:dyDescent="0.2">
      <c r="E432" s="2"/>
      <c r="G432" s="1"/>
    </row>
    <row r="433" spans="5:7" ht="15.75" customHeight="1" x14ac:dyDescent="0.2">
      <c r="E433" s="2"/>
      <c r="G433" s="1"/>
    </row>
    <row r="434" spans="5:7" ht="15.75" customHeight="1" x14ac:dyDescent="0.2">
      <c r="E434" s="2"/>
      <c r="G434" s="1"/>
    </row>
    <row r="435" spans="5:7" ht="15.75" customHeight="1" x14ac:dyDescent="0.2">
      <c r="E435" s="2"/>
      <c r="G435" s="1"/>
    </row>
    <row r="436" spans="5:7" ht="15.75" customHeight="1" x14ac:dyDescent="0.2">
      <c r="E436" s="2"/>
      <c r="G436" s="1"/>
    </row>
    <row r="437" spans="5:7" ht="15.75" customHeight="1" x14ac:dyDescent="0.2">
      <c r="E437" s="2"/>
      <c r="G437" s="1"/>
    </row>
    <row r="438" spans="5:7" ht="15.75" customHeight="1" x14ac:dyDescent="0.2">
      <c r="E438" s="2"/>
      <c r="G438" s="1"/>
    </row>
    <row r="439" spans="5:7" ht="15.75" customHeight="1" x14ac:dyDescent="0.2">
      <c r="E439" s="2"/>
      <c r="G439" s="1"/>
    </row>
    <row r="440" spans="5:7" ht="15.75" customHeight="1" x14ac:dyDescent="0.2">
      <c r="E440" s="2"/>
      <c r="G440" s="1"/>
    </row>
    <row r="441" spans="5:7" ht="15.75" customHeight="1" x14ac:dyDescent="0.2">
      <c r="E441" s="2"/>
      <c r="G441" s="1"/>
    </row>
    <row r="442" spans="5:7" ht="15.75" customHeight="1" x14ac:dyDescent="0.2">
      <c r="E442" s="2"/>
      <c r="G442" s="1"/>
    </row>
    <row r="443" spans="5:7" ht="15.75" customHeight="1" x14ac:dyDescent="0.2">
      <c r="E443" s="2"/>
      <c r="G443" s="1"/>
    </row>
    <row r="444" spans="5:7" ht="15.75" customHeight="1" x14ac:dyDescent="0.2">
      <c r="E444" s="2"/>
      <c r="G444" s="1"/>
    </row>
    <row r="445" spans="5:7" ht="15.75" customHeight="1" x14ac:dyDescent="0.2">
      <c r="E445" s="2"/>
      <c r="G445" s="1"/>
    </row>
    <row r="446" spans="5:7" ht="15.75" customHeight="1" x14ac:dyDescent="0.2">
      <c r="E446" s="2"/>
      <c r="G446" s="1"/>
    </row>
    <row r="447" spans="5:7" ht="15.75" customHeight="1" x14ac:dyDescent="0.2">
      <c r="E447" s="2"/>
      <c r="G447" s="1"/>
    </row>
    <row r="448" spans="5:7" ht="15.75" customHeight="1" x14ac:dyDescent="0.2">
      <c r="E448" s="2"/>
      <c r="G448" s="1"/>
    </row>
    <row r="449" spans="5:7" ht="15.75" customHeight="1" x14ac:dyDescent="0.2">
      <c r="E449" s="2"/>
      <c r="G449" s="1"/>
    </row>
    <row r="450" spans="5:7" ht="15.75" customHeight="1" x14ac:dyDescent="0.2">
      <c r="E450" s="2"/>
      <c r="G450" s="1"/>
    </row>
    <row r="451" spans="5:7" ht="15.75" customHeight="1" x14ac:dyDescent="0.2">
      <c r="E451" s="2"/>
      <c r="G451" s="1"/>
    </row>
    <row r="452" spans="5:7" ht="15.75" customHeight="1" x14ac:dyDescent="0.2">
      <c r="E452" s="2"/>
      <c r="G452" s="1"/>
    </row>
    <row r="453" spans="5:7" ht="15.75" customHeight="1" x14ac:dyDescent="0.2">
      <c r="E453" s="2"/>
      <c r="G453" s="1"/>
    </row>
    <row r="454" spans="5:7" ht="15.75" customHeight="1" x14ac:dyDescent="0.2">
      <c r="E454" s="2"/>
      <c r="G454" s="1"/>
    </row>
    <row r="455" spans="5:7" ht="15.75" customHeight="1" x14ac:dyDescent="0.2">
      <c r="E455" s="2"/>
      <c r="G455" s="1"/>
    </row>
    <row r="456" spans="5:7" ht="15.75" customHeight="1" x14ac:dyDescent="0.2">
      <c r="E456" s="2"/>
      <c r="G456" s="1"/>
    </row>
    <row r="457" spans="5:7" ht="15.75" customHeight="1" x14ac:dyDescent="0.2">
      <c r="E457" s="2"/>
      <c r="G457" s="1"/>
    </row>
    <row r="458" spans="5:7" ht="15.75" customHeight="1" x14ac:dyDescent="0.2">
      <c r="E458" s="2"/>
      <c r="G458" s="1"/>
    </row>
    <row r="459" spans="5:7" ht="15.75" customHeight="1" x14ac:dyDescent="0.2">
      <c r="E459" s="2"/>
      <c r="G459" s="1"/>
    </row>
    <row r="460" spans="5:7" ht="15.75" customHeight="1" x14ac:dyDescent="0.2">
      <c r="E460" s="2"/>
      <c r="G460" s="1"/>
    </row>
    <row r="461" spans="5:7" ht="15.75" customHeight="1" x14ac:dyDescent="0.2">
      <c r="E461" s="2"/>
      <c r="G461" s="1"/>
    </row>
    <row r="462" spans="5:7" ht="15.75" customHeight="1" x14ac:dyDescent="0.2">
      <c r="E462" s="2"/>
      <c r="G462" s="1"/>
    </row>
    <row r="463" spans="5:7" ht="15.75" customHeight="1" x14ac:dyDescent="0.2">
      <c r="E463" s="2"/>
      <c r="G463" s="1"/>
    </row>
    <row r="464" spans="5:7" ht="15.75" customHeight="1" x14ac:dyDescent="0.2">
      <c r="E464" s="2"/>
      <c r="G464" s="1"/>
    </row>
    <row r="465" spans="5:7" ht="15.75" customHeight="1" x14ac:dyDescent="0.2">
      <c r="E465" s="2"/>
      <c r="G465" s="1"/>
    </row>
    <row r="466" spans="5:7" ht="15.75" customHeight="1" x14ac:dyDescent="0.2">
      <c r="E466" s="2"/>
      <c r="G466" s="1"/>
    </row>
    <row r="467" spans="5:7" ht="15.75" customHeight="1" x14ac:dyDescent="0.2">
      <c r="E467" s="2"/>
      <c r="G467" s="1"/>
    </row>
    <row r="468" spans="5:7" ht="15.75" customHeight="1" x14ac:dyDescent="0.2">
      <c r="E468" s="2"/>
      <c r="G468" s="1"/>
    </row>
    <row r="469" spans="5:7" ht="15.75" customHeight="1" x14ac:dyDescent="0.2">
      <c r="E469" s="2"/>
      <c r="G469" s="1"/>
    </row>
    <row r="470" spans="5:7" ht="15.75" customHeight="1" x14ac:dyDescent="0.2">
      <c r="E470" s="2"/>
      <c r="G470" s="1"/>
    </row>
    <row r="471" spans="5:7" ht="15.75" customHeight="1" x14ac:dyDescent="0.2">
      <c r="E471" s="2"/>
      <c r="G471" s="1"/>
    </row>
    <row r="472" spans="5:7" ht="15.75" customHeight="1" x14ac:dyDescent="0.2">
      <c r="E472" s="2"/>
      <c r="G472" s="1"/>
    </row>
    <row r="473" spans="5:7" ht="15.75" customHeight="1" x14ac:dyDescent="0.2">
      <c r="E473" s="2"/>
      <c r="G473" s="1"/>
    </row>
    <row r="474" spans="5:7" ht="15.75" customHeight="1" x14ac:dyDescent="0.2">
      <c r="E474" s="2"/>
      <c r="G474" s="1"/>
    </row>
    <row r="475" spans="5:7" ht="15.75" customHeight="1" x14ac:dyDescent="0.2">
      <c r="E475" s="2"/>
      <c r="G475" s="1"/>
    </row>
    <row r="476" spans="5:7" ht="15.75" customHeight="1" x14ac:dyDescent="0.2">
      <c r="E476" s="2"/>
      <c r="G476" s="1"/>
    </row>
    <row r="477" spans="5:7" ht="15.75" customHeight="1" x14ac:dyDescent="0.2">
      <c r="E477" s="2"/>
      <c r="G477" s="1"/>
    </row>
    <row r="478" spans="5:7" ht="15.75" customHeight="1" x14ac:dyDescent="0.2">
      <c r="E478" s="2"/>
      <c r="G478" s="1"/>
    </row>
    <row r="479" spans="5:7" ht="15.75" customHeight="1" x14ac:dyDescent="0.2">
      <c r="E479" s="2"/>
      <c r="G479" s="1"/>
    </row>
    <row r="480" spans="5:7" ht="15.75" customHeight="1" x14ac:dyDescent="0.2">
      <c r="E480" s="2"/>
      <c r="G480" s="1"/>
    </row>
    <row r="481" spans="5:7" ht="15.75" customHeight="1" x14ac:dyDescent="0.2">
      <c r="E481" s="2"/>
      <c r="G481" s="1"/>
    </row>
    <row r="482" spans="5:7" ht="15.75" customHeight="1" x14ac:dyDescent="0.2">
      <c r="E482" s="2"/>
      <c r="G482" s="1"/>
    </row>
    <row r="483" spans="5:7" ht="15.75" customHeight="1" x14ac:dyDescent="0.2">
      <c r="E483" s="2"/>
      <c r="G483" s="1"/>
    </row>
    <row r="484" spans="5:7" ht="15.75" customHeight="1" x14ac:dyDescent="0.2">
      <c r="E484" s="2"/>
      <c r="G484" s="1"/>
    </row>
    <row r="485" spans="5:7" ht="15.75" customHeight="1" x14ac:dyDescent="0.2">
      <c r="E485" s="2"/>
      <c r="G485" s="1"/>
    </row>
    <row r="486" spans="5:7" ht="15.75" customHeight="1" x14ac:dyDescent="0.2">
      <c r="E486" s="2"/>
      <c r="G486" s="1"/>
    </row>
    <row r="487" spans="5:7" ht="15.75" customHeight="1" x14ac:dyDescent="0.2">
      <c r="E487" s="2"/>
      <c r="G487" s="1"/>
    </row>
    <row r="488" spans="5:7" ht="15.75" customHeight="1" x14ac:dyDescent="0.2">
      <c r="E488" s="2"/>
      <c r="G488" s="1"/>
    </row>
    <row r="489" spans="5:7" ht="15.75" customHeight="1" x14ac:dyDescent="0.2">
      <c r="E489" s="2"/>
      <c r="G489" s="1"/>
    </row>
    <row r="490" spans="5:7" ht="15.75" customHeight="1" x14ac:dyDescent="0.2">
      <c r="E490" s="2"/>
      <c r="G490" s="1"/>
    </row>
    <row r="491" spans="5:7" ht="15.75" customHeight="1" x14ac:dyDescent="0.2">
      <c r="E491" s="2"/>
      <c r="G491" s="1"/>
    </row>
    <row r="492" spans="5:7" ht="15.75" customHeight="1" x14ac:dyDescent="0.2">
      <c r="E492" s="2"/>
      <c r="G492" s="1"/>
    </row>
    <row r="493" spans="5:7" ht="15.75" customHeight="1" x14ac:dyDescent="0.2">
      <c r="E493" s="2"/>
      <c r="G493" s="1"/>
    </row>
    <row r="494" spans="5:7" ht="15.75" customHeight="1" x14ac:dyDescent="0.2">
      <c r="E494" s="2"/>
      <c r="G494" s="1"/>
    </row>
    <row r="495" spans="5:7" ht="15.75" customHeight="1" x14ac:dyDescent="0.2">
      <c r="E495" s="2"/>
      <c r="G495" s="1"/>
    </row>
    <row r="496" spans="5:7" ht="15.75" customHeight="1" x14ac:dyDescent="0.2">
      <c r="E496" s="2"/>
      <c r="G496" s="1"/>
    </row>
    <row r="497" spans="5:7" ht="15.75" customHeight="1" x14ac:dyDescent="0.2">
      <c r="E497" s="2"/>
      <c r="G497" s="1"/>
    </row>
    <row r="498" spans="5:7" ht="15.75" customHeight="1" x14ac:dyDescent="0.2">
      <c r="E498" s="2"/>
      <c r="G498" s="1"/>
    </row>
    <row r="499" spans="5:7" ht="15.75" customHeight="1" x14ac:dyDescent="0.2">
      <c r="E499" s="2"/>
      <c r="G499" s="1"/>
    </row>
    <row r="500" spans="5:7" ht="15.75" customHeight="1" x14ac:dyDescent="0.2">
      <c r="E500" s="2"/>
      <c r="G500" s="1"/>
    </row>
    <row r="501" spans="5:7" ht="15.75" customHeight="1" x14ac:dyDescent="0.2">
      <c r="E501" s="2"/>
      <c r="G501" s="1"/>
    </row>
    <row r="502" spans="5:7" ht="15.75" customHeight="1" x14ac:dyDescent="0.2">
      <c r="E502" s="2"/>
      <c r="G502" s="1"/>
    </row>
    <row r="503" spans="5:7" ht="15.75" customHeight="1" x14ac:dyDescent="0.2">
      <c r="E503" s="2"/>
      <c r="G503" s="1"/>
    </row>
    <row r="504" spans="5:7" ht="15.75" customHeight="1" x14ac:dyDescent="0.2">
      <c r="E504" s="2"/>
      <c r="G504" s="1"/>
    </row>
    <row r="505" spans="5:7" ht="15.75" customHeight="1" x14ac:dyDescent="0.2">
      <c r="E505" s="2"/>
      <c r="G505" s="1"/>
    </row>
    <row r="506" spans="5:7" ht="15.75" customHeight="1" x14ac:dyDescent="0.2">
      <c r="E506" s="2"/>
      <c r="G506" s="1"/>
    </row>
    <row r="507" spans="5:7" ht="15.75" customHeight="1" x14ac:dyDescent="0.2">
      <c r="E507" s="2"/>
      <c r="G507" s="1"/>
    </row>
    <row r="508" spans="5:7" ht="15.75" customHeight="1" x14ac:dyDescent="0.2">
      <c r="E508" s="2"/>
      <c r="G508" s="1"/>
    </row>
    <row r="509" spans="5:7" ht="15.75" customHeight="1" x14ac:dyDescent="0.2">
      <c r="E509" s="2"/>
      <c r="G509" s="1"/>
    </row>
    <row r="510" spans="5:7" ht="15.75" customHeight="1" x14ac:dyDescent="0.2">
      <c r="E510" s="2"/>
      <c r="G510" s="1"/>
    </row>
    <row r="511" spans="5:7" ht="15.75" customHeight="1" x14ac:dyDescent="0.2">
      <c r="E511" s="2"/>
      <c r="G511" s="1"/>
    </row>
    <row r="512" spans="5:7" ht="15.75" customHeight="1" x14ac:dyDescent="0.2">
      <c r="E512" s="2"/>
      <c r="G512" s="1"/>
    </row>
    <row r="513" spans="5:7" ht="15.75" customHeight="1" x14ac:dyDescent="0.2">
      <c r="E513" s="2"/>
      <c r="G513" s="1"/>
    </row>
    <row r="514" spans="5:7" ht="15.75" customHeight="1" x14ac:dyDescent="0.2">
      <c r="E514" s="2"/>
      <c r="G514" s="1"/>
    </row>
    <row r="515" spans="5:7" ht="15.75" customHeight="1" x14ac:dyDescent="0.2">
      <c r="E515" s="2"/>
      <c r="G515" s="1"/>
    </row>
    <row r="516" spans="5:7" ht="15.75" customHeight="1" x14ac:dyDescent="0.2">
      <c r="E516" s="2"/>
      <c r="G516" s="1"/>
    </row>
    <row r="517" spans="5:7" ht="15.75" customHeight="1" x14ac:dyDescent="0.2">
      <c r="E517" s="2"/>
      <c r="G517" s="1"/>
    </row>
    <row r="518" spans="5:7" ht="15.75" customHeight="1" x14ac:dyDescent="0.2">
      <c r="E518" s="2"/>
      <c r="G518" s="1"/>
    </row>
    <row r="519" spans="5:7" ht="15.75" customHeight="1" x14ac:dyDescent="0.2">
      <c r="E519" s="2"/>
      <c r="G519" s="1"/>
    </row>
    <row r="520" spans="5:7" ht="15.75" customHeight="1" x14ac:dyDescent="0.2">
      <c r="E520" s="2"/>
      <c r="G520" s="1"/>
    </row>
    <row r="521" spans="5:7" ht="15.75" customHeight="1" x14ac:dyDescent="0.2"/>
    <row r="522" spans="5:7" ht="15.75" customHeight="1" x14ac:dyDescent="0.2"/>
    <row r="523" spans="5:7" ht="15.75" customHeight="1" x14ac:dyDescent="0.2"/>
    <row r="524" spans="5:7" ht="15.75" customHeight="1" x14ac:dyDescent="0.2"/>
    <row r="525" spans="5:7" ht="15.75" customHeight="1" x14ac:dyDescent="0.2"/>
    <row r="526" spans="5:7" ht="15.75" customHeight="1" x14ac:dyDescent="0.2"/>
    <row r="527" spans="5:7" ht="15.75" customHeight="1" x14ac:dyDescent="0.2"/>
    <row r="528" spans="5:7"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55"/>
  <sheetViews>
    <sheetView topLeftCell="A36" workbookViewId="0">
      <selection activeCell="E1" sqref="E1"/>
    </sheetView>
  </sheetViews>
  <sheetFormatPr defaultColWidth="12.5703125" defaultRowHeight="15" customHeight="1" x14ac:dyDescent="0.2"/>
  <cols>
    <col min="11" max="11" width="44.7109375" customWidth="1"/>
    <col min="12" max="12" width="40.140625" customWidth="1"/>
  </cols>
  <sheetData>
    <row r="1" spans="1:8" ht="15" customHeight="1" x14ac:dyDescent="0.2">
      <c r="A1" s="68" t="s">
        <v>838</v>
      </c>
      <c r="B1" s="68" t="s">
        <v>895</v>
      </c>
      <c r="C1" s="68" t="s">
        <v>839</v>
      </c>
      <c r="D1" s="68" t="s">
        <v>819</v>
      </c>
      <c r="E1" s="69" t="s">
        <v>896</v>
      </c>
    </row>
    <row r="2" spans="1:8" ht="102" x14ac:dyDescent="0.2">
      <c r="A2" s="1" t="s">
        <v>125</v>
      </c>
      <c r="B2" s="1" t="s">
        <v>126</v>
      </c>
      <c r="C2" s="1" t="s">
        <v>126</v>
      </c>
      <c r="D2" s="1" t="s">
        <v>804</v>
      </c>
      <c r="E2" s="2" t="s">
        <v>127</v>
      </c>
      <c r="F2" s="1">
        <v>1</v>
      </c>
      <c r="G2" s="1" t="s">
        <v>15</v>
      </c>
      <c r="H2" t="s">
        <v>804</v>
      </c>
    </row>
    <row r="3" spans="1:8" ht="89.25" x14ac:dyDescent="0.2">
      <c r="A3" s="1" t="s">
        <v>128</v>
      </c>
      <c r="B3" s="1" t="s">
        <v>129</v>
      </c>
      <c r="C3" s="1" t="s">
        <v>130</v>
      </c>
      <c r="D3" s="1" t="s">
        <v>803</v>
      </c>
      <c r="E3" s="2" t="s">
        <v>129</v>
      </c>
      <c r="F3" s="1">
        <v>0.9</v>
      </c>
      <c r="G3" s="1" t="s">
        <v>15</v>
      </c>
      <c r="H3" t="s">
        <v>803</v>
      </c>
    </row>
    <row r="4" spans="1:8" ht="89.25" x14ac:dyDescent="0.2">
      <c r="A4" s="1" t="s">
        <v>131</v>
      </c>
      <c r="B4" s="1" t="s">
        <v>132</v>
      </c>
      <c r="C4" s="1" t="s">
        <v>132</v>
      </c>
      <c r="D4" s="1" t="s">
        <v>804</v>
      </c>
      <c r="E4" s="2" t="s">
        <v>132</v>
      </c>
      <c r="F4" s="1">
        <v>1</v>
      </c>
      <c r="G4" s="1">
        <v>1</v>
      </c>
      <c r="H4" t="s">
        <v>804</v>
      </c>
    </row>
    <row r="5" spans="1:8" ht="51" x14ac:dyDescent="0.2">
      <c r="A5" s="1" t="s">
        <v>133</v>
      </c>
      <c r="B5" s="1" t="s">
        <v>134</v>
      </c>
      <c r="C5" s="1" t="s">
        <v>134</v>
      </c>
      <c r="D5" s="1" t="s">
        <v>804</v>
      </c>
      <c r="E5" s="2" t="s">
        <v>134</v>
      </c>
      <c r="F5" s="1">
        <v>1</v>
      </c>
      <c r="G5" s="1">
        <v>1</v>
      </c>
      <c r="H5" t="s">
        <v>804</v>
      </c>
    </row>
    <row r="6" spans="1:8" ht="76.5" x14ac:dyDescent="0.2">
      <c r="A6" s="1" t="s">
        <v>135</v>
      </c>
      <c r="B6" s="1" t="s">
        <v>136</v>
      </c>
      <c r="C6" s="1" t="s">
        <v>136</v>
      </c>
      <c r="D6" s="1" t="s">
        <v>804</v>
      </c>
      <c r="E6" s="2" t="s">
        <v>136</v>
      </c>
      <c r="F6" s="1">
        <v>1</v>
      </c>
      <c r="G6" s="1">
        <v>1</v>
      </c>
      <c r="H6" t="s">
        <v>804</v>
      </c>
    </row>
    <row r="7" spans="1:8" ht="89.25" x14ac:dyDescent="0.2">
      <c r="A7" s="1" t="s">
        <v>137</v>
      </c>
      <c r="B7" s="1" t="s">
        <v>138</v>
      </c>
      <c r="C7" s="1" t="s">
        <v>138</v>
      </c>
      <c r="D7" s="1" t="s">
        <v>804</v>
      </c>
      <c r="E7" s="2" t="s">
        <v>139</v>
      </c>
      <c r="F7" s="1">
        <v>1</v>
      </c>
      <c r="G7" s="1">
        <v>1</v>
      </c>
      <c r="H7" t="s">
        <v>804</v>
      </c>
    </row>
    <row r="8" spans="1:8" ht="89.25" x14ac:dyDescent="0.2">
      <c r="A8" s="1" t="s">
        <v>140</v>
      </c>
      <c r="B8" s="1" t="s">
        <v>141</v>
      </c>
      <c r="C8" s="1" t="s">
        <v>142</v>
      </c>
      <c r="D8" s="1" t="s">
        <v>803</v>
      </c>
      <c r="E8" s="2" t="s">
        <v>141</v>
      </c>
      <c r="F8" s="1">
        <v>0.9</v>
      </c>
      <c r="G8" s="1" t="s">
        <v>15</v>
      </c>
      <c r="H8" t="s">
        <v>803</v>
      </c>
    </row>
    <row r="9" spans="1:8" ht="51" x14ac:dyDescent="0.2">
      <c r="A9" s="1" t="s">
        <v>143</v>
      </c>
      <c r="B9" s="1" t="s">
        <v>144</v>
      </c>
      <c r="C9" s="1" t="s">
        <v>144</v>
      </c>
      <c r="D9" s="1" t="s">
        <v>804</v>
      </c>
      <c r="E9" s="2" t="s">
        <v>145</v>
      </c>
      <c r="F9" s="1" t="s">
        <v>15</v>
      </c>
      <c r="G9" s="1" t="s">
        <v>23</v>
      </c>
      <c r="H9" t="s">
        <v>803</v>
      </c>
    </row>
    <row r="10" spans="1:8" ht="63.75" x14ac:dyDescent="0.2">
      <c r="A10" s="1" t="s">
        <v>146</v>
      </c>
      <c r="B10" s="1" t="s">
        <v>147</v>
      </c>
      <c r="C10" s="1" t="s">
        <v>148</v>
      </c>
      <c r="D10" s="1" t="s">
        <v>803</v>
      </c>
      <c r="E10" s="2" t="s">
        <v>149</v>
      </c>
      <c r="F10" s="1">
        <v>1</v>
      </c>
      <c r="G10" s="1" t="s">
        <v>15</v>
      </c>
      <c r="H10" t="s">
        <v>804</v>
      </c>
    </row>
    <row r="11" spans="1:8" ht="76.5" x14ac:dyDescent="0.2">
      <c r="A11" s="1" t="s">
        <v>150</v>
      </c>
      <c r="B11" s="1" t="s">
        <v>151</v>
      </c>
      <c r="C11" s="1" t="s">
        <v>151</v>
      </c>
      <c r="D11" s="1" t="s">
        <v>804</v>
      </c>
      <c r="E11" s="2" t="s">
        <v>151</v>
      </c>
      <c r="F11" s="1">
        <v>1</v>
      </c>
      <c r="G11" s="1">
        <v>1</v>
      </c>
      <c r="H11" t="s">
        <v>804</v>
      </c>
    </row>
    <row r="12" spans="1:8" ht="63.75" x14ac:dyDescent="0.2">
      <c r="A12" s="1" t="s">
        <v>152</v>
      </c>
      <c r="B12" s="1" t="s">
        <v>153</v>
      </c>
      <c r="C12" s="1" t="s">
        <v>153</v>
      </c>
      <c r="D12" s="1" t="s">
        <v>804</v>
      </c>
      <c r="E12" s="2" t="s">
        <v>153</v>
      </c>
      <c r="F12" s="1">
        <v>1</v>
      </c>
      <c r="G12" s="1">
        <v>1</v>
      </c>
      <c r="H12" t="s">
        <v>804</v>
      </c>
    </row>
    <row r="13" spans="1:8" ht="89.25" x14ac:dyDescent="0.2">
      <c r="A13" s="1" t="s">
        <v>154</v>
      </c>
      <c r="B13" s="1" t="s">
        <v>155</v>
      </c>
      <c r="C13" s="1" t="s">
        <v>156</v>
      </c>
      <c r="D13" s="1" t="s">
        <v>803</v>
      </c>
      <c r="E13" s="2" t="s">
        <v>157</v>
      </c>
      <c r="F13" s="1">
        <v>1</v>
      </c>
      <c r="G13" s="1">
        <v>1</v>
      </c>
      <c r="H13" t="s">
        <v>804</v>
      </c>
    </row>
    <row r="14" spans="1:8" ht="89.25" x14ac:dyDescent="0.2">
      <c r="A14" s="1" t="s">
        <v>158</v>
      </c>
      <c r="B14" s="1" t="s">
        <v>159</v>
      </c>
      <c r="C14" s="1" t="s">
        <v>160</v>
      </c>
      <c r="D14" s="1" t="s">
        <v>803</v>
      </c>
      <c r="E14" s="2" t="s">
        <v>161</v>
      </c>
      <c r="F14" s="1">
        <v>1</v>
      </c>
      <c r="G14" s="1" t="s">
        <v>162</v>
      </c>
      <c r="H14" t="s">
        <v>804</v>
      </c>
    </row>
    <row r="15" spans="1:8" ht="89.25" x14ac:dyDescent="0.2">
      <c r="A15" s="1" t="s">
        <v>163</v>
      </c>
      <c r="B15" s="1" t="s">
        <v>164</v>
      </c>
      <c r="C15" s="1" t="s">
        <v>165</v>
      </c>
      <c r="D15" s="1" t="s">
        <v>803</v>
      </c>
      <c r="E15" s="2" t="s">
        <v>166</v>
      </c>
      <c r="F15" s="1">
        <v>1</v>
      </c>
      <c r="G15" s="1" t="s">
        <v>162</v>
      </c>
      <c r="H15" t="s">
        <v>804</v>
      </c>
    </row>
    <row r="16" spans="1:8" ht="102" x14ac:dyDescent="0.2">
      <c r="A16" s="1" t="s">
        <v>167</v>
      </c>
      <c r="B16" s="1" t="s">
        <v>168</v>
      </c>
      <c r="C16" s="1" t="s">
        <v>168</v>
      </c>
      <c r="D16" s="1" t="s">
        <v>804</v>
      </c>
      <c r="E16" s="2" t="s">
        <v>168</v>
      </c>
      <c r="F16" s="1">
        <v>1</v>
      </c>
      <c r="G16" s="1">
        <v>1</v>
      </c>
      <c r="H16" t="s">
        <v>804</v>
      </c>
    </row>
    <row r="17" spans="1:18" ht="76.5" x14ac:dyDescent="0.2">
      <c r="A17" s="1" t="s">
        <v>169</v>
      </c>
      <c r="B17" s="1" t="s">
        <v>170</v>
      </c>
      <c r="C17" s="1" t="s">
        <v>171</v>
      </c>
      <c r="D17" s="1" t="s">
        <v>803</v>
      </c>
      <c r="E17" s="2" t="s">
        <v>172</v>
      </c>
      <c r="F17" s="1">
        <v>0.9</v>
      </c>
      <c r="G17" s="1" t="s">
        <v>23</v>
      </c>
      <c r="H17" t="s">
        <v>803</v>
      </c>
      <c r="Q17" s="14"/>
      <c r="R17" s="14"/>
    </row>
    <row r="18" spans="1:18" ht="89.25" x14ac:dyDescent="0.2">
      <c r="A18" s="1" t="s">
        <v>173</v>
      </c>
      <c r="B18" s="1" t="s">
        <v>174</v>
      </c>
      <c r="C18" s="1" t="s">
        <v>174</v>
      </c>
      <c r="D18" s="1" t="s">
        <v>804</v>
      </c>
      <c r="E18" s="2" t="s">
        <v>174</v>
      </c>
      <c r="F18" s="1">
        <v>1</v>
      </c>
      <c r="G18" s="1">
        <v>1</v>
      </c>
      <c r="H18" t="s">
        <v>804</v>
      </c>
      <c r="Q18" s="14"/>
      <c r="R18" s="14"/>
    </row>
    <row r="19" spans="1:18" ht="102" x14ac:dyDescent="0.2">
      <c r="A19" s="1" t="s">
        <v>175</v>
      </c>
      <c r="B19" s="1" t="s">
        <v>176</v>
      </c>
      <c r="C19" s="1" t="s">
        <v>176</v>
      </c>
      <c r="D19" s="1" t="s">
        <v>804</v>
      </c>
      <c r="E19" s="2" t="s">
        <v>177</v>
      </c>
      <c r="F19" s="1">
        <v>1</v>
      </c>
      <c r="G19" s="1" t="s">
        <v>15</v>
      </c>
      <c r="H19" t="s">
        <v>804</v>
      </c>
      <c r="Q19" s="17"/>
      <c r="R19" s="17"/>
    </row>
    <row r="20" spans="1:18" ht="78.75" thickBot="1" x14ac:dyDescent="0.35">
      <c r="A20" s="1" t="s">
        <v>178</v>
      </c>
      <c r="B20" s="1" t="s">
        <v>179</v>
      </c>
      <c r="C20" s="1" t="s">
        <v>179</v>
      </c>
      <c r="D20" s="1" t="s">
        <v>804</v>
      </c>
      <c r="E20" s="2" t="s">
        <v>180</v>
      </c>
      <c r="F20" s="1">
        <v>1</v>
      </c>
      <c r="G20" s="1">
        <v>1</v>
      </c>
      <c r="H20" t="s">
        <v>804</v>
      </c>
      <c r="K20" s="58" t="s">
        <v>800</v>
      </c>
      <c r="L20" s="58" t="s">
        <v>801</v>
      </c>
      <c r="Q20" s="14"/>
      <c r="R20" s="14"/>
    </row>
    <row r="21" spans="1:18" ht="104.25" thickBot="1" x14ac:dyDescent="0.35">
      <c r="A21" s="1" t="s">
        <v>181</v>
      </c>
      <c r="B21" s="1" t="s">
        <v>182</v>
      </c>
      <c r="C21" s="1" t="s">
        <v>182</v>
      </c>
      <c r="D21" s="1" t="s">
        <v>804</v>
      </c>
      <c r="E21" s="2" t="s">
        <v>182</v>
      </c>
      <c r="F21" s="1">
        <v>1</v>
      </c>
      <c r="G21" s="1">
        <v>1</v>
      </c>
      <c r="H21" t="s">
        <v>804</v>
      </c>
      <c r="K21" s="63" t="s">
        <v>803</v>
      </c>
      <c r="L21" s="64">
        <v>10</v>
      </c>
      <c r="Q21" s="14"/>
      <c r="R21" s="14"/>
    </row>
    <row r="22" spans="1:18" ht="103.5" x14ac:dyDescent="0.3">
      <c r="A22" s="1" t="s">
        <v>183</v>
      </c>
      <c r="B22" s="1" t="s">
        <v>184</v>
      </c>
      <c r="C22" s="1" t="s">
        <v>184</v>
      </c>
      <c r="D22" s="1" t="s">
        <v>804</v>
      </c>
      <c r="E22" s="2" t="s">
        <v>185</v>
      </c>
      <c r="F22" s="1">
        <v>1</v>
      </c>
      <c r="G22" s="1">
        <v>1</v>
      </c>
      <c r="H22" t="s">
        <v>804</v>
      </c>
      <c r="K22" s="65" t="s">
        <v>804</v>
      </c>
      <c r="L22" s="66">
        <v>39</v>
      </c>
      <c r="M22" s="26"/>
      <c r="Q22" s="14"/>
      <c r="R22" s="14"/>
    </row>
    <row r="23" spans="1:18" ht="90.75" x14ac:dyDescent="0.3">
      <c r="A23" s="1" t="s">
        <v>186</v>
      </c>
      <c r="B23" s="1" t="s">
        <v>187</v>
      </c>
      <c r="C23" s="1" t="s">
        <v>188</v>
      </c>
      <c r="D23" s="1" t="s">
        <v>803</v>
      </c>
      <c r="E23" s="2" t="s">
        <v>189</v>
      </c>
      <c r="F23" s="1">
        <v>0.9</v>
      </c>
      <c r="G23" s="1" t="s">
        <v>15</v>
      </c>
      <c r="H23" t="s">
        <v>803</v>
      </c>
      <c r="K23" s="67" t="s">
        <v>814</v>
      </c>
      <c r="L23" s="67">
        <v>49</v>
      </c>
      <c r="Q23" s="17"/>
      <c r="R23" s="17"/>
    </row>
    <row r="24" spans="1:18" ht="76.5" x14ac:dyDescent="0.2">
      <c r="A24" s="1" t="s">
        <v>190</v>
      </c>
      <c r="B24" s="1" t="s">
        <v>191</v>
      </c>
      <c r="C24" s="1" t="s">
        <v>191</v>
      </c>
      <c r="D24" s="1" t="s">
        <v>804</v>
      </c>
      <c r="E24" s="2" t="s">
        <v>192</v>
      </c>
      <c r="F24" s="1">
        <v>1</v>
      </c>
      <c r="G24" s="1">
        <v>1</v>
      </c>
      <c r="H24" t="s">
        <v>804</v>
      </c>
      <c r="Q24" s="14"/>
      <c r="R24" s="14"/>
    </row>
    <row r="25" spans="1:18" ht="102" x14ac:dyDescent="0.2">
      <c r="A25" s="1" t="s">
        <v>193</v>
      </c>
      <c r="B25" s="1" t="s">
        <v>194</v>
      </c>
      <c r="C25" s="1" t="s">
        <v>194</v>
      </c>
      <c r="D25" s="1" t="s">
        <v>804</v>
      </c>
      <c r="E25" s="2" t="s">
        <v>195</v>
      </c>
      <c r="F25" s="1" t="s">
        <v>15</v>
      </c>
      <c r="G25" s="1">
        <v>1</v>
      </c>
      <c r="H25" t="s">
        <v>803</v>
      </c>
      <c r="Q25" s="14"/>
      <c r="R25" s="14"/>
    </row>
    <row r="26" spans="1:18" ht="89.25" x14ac:dyDescent="0.2">
      <c r="A26" s="1" t="s">
        <v>196</v>
      </c>
      <c r="B26" s="1" t="s">
        <v>197</v>
      </c>
      <c r="C26" s="1" t="s">
        <v>197</v>
      </c>
      <c r="D26" s="1" t="s">
        <v>804</v>
      </c>
      <c r="E26" s="2" t="s">
        <v>197</v>
      </c>
      <c r="F26" s="1">
        <v>1</v>
      </c>
      <c r="G26" s="1">
        <v>1</v>
      </c>
      <c r="H26" t="s">
        <v>804</v>
      </c>
      <c r="Q26" s="14"/>
      <c r="R26" s="14"/>
    </row>
    <row r="27" spans="1:18" ht="63.75" x14ac:dyDescent="0.2">
      <c r="A27" s="1" t="s">
        <v>198</v>
      </c>
      <c r="B27" s="1" t="s">
        <v>199</v>
      </c>
      <c r="C27" s="1" t="s">
        <v>199</v>
      </c>
      <c r="D27" s="1" t="s">
        <v>804</v>
      </c>
      <c r="E27" s="2" t="s">
        <v>199</v>
      </c>
      <c r="F27" s="1">
        <v>1</v>
      </c>
      <c r="G27" s="1">
        <v>1</v>
      </c>
      <c r="H27" t="s">
        <v>804</v>
      </c>
      <c r="Q27" s="14"/>
      <c r="R27" s="14"/>
    </row>
    <row r="28" spans="1:18" ht="89.25" x14ac:dyDescent="0.2">
      <c r="A28" s="1" t="s">
        <v>200</v>
      </c>
      <c r="B28" s="1" t="s">
        <v>201</v>
      </c>
      <c r="C28" s="1" t="s">
        <v>202</v>
      </c>
      <c r="D28" s="1" t="s">
        <v>803</v>
      </c>
      <c r="E28" s="2" t="s">
        <v>201</v>
      </c>
      <c r="F28" s="1" t="s">
        <v>15</v>
      </c>
      <c r="G28" s="1" t="s">
        <v>15</v>
      </c>
      <c r="H28" s="72" t="s">
        <v>803</v>
      </c>
      <c r="Q28" s="14"/>
      <c r="R28" s="14"/>
    </row>
    <row r="29" spans="1:18" ht="76.5" x14ac:dyDescent="0.2">
      <c r="A29" s="1" t="s">
        <v>203</v>
      </c>
      <c r="B29" s="1" t="s">
        <v>204</v>
      </c>
      <c r="C29" s="1" t="s">
        <v>204</v>
      </c>
      <c r="D29" s="1" t="s">
        <v>804</v>
      </c>
      <c r="E29" s="2" t="s">
        <v>205</v>
      </c>
      <c r="F29" s="1">
        <v>1</v>
      </c>
      <c r="G29" s="1">
        <v>1</v>
      </c>
      <c r="H29" t="s">
        <v>804</v>
      </c>
      <c r="Q29" s="16"/>
      <c r="R29" s="16"/>
    </row>
    <row r="30" spans="1:18" ht="76.5" x14ac:dyDescent="0.2">
      <c r="A30" s="1" t="s">
        <v>206</v>
      </c>
      <c r="B30" s="1" t="s">
        <v>207</v>
      </c>
      <c r="C30" s="1" t="s">
        <v>207</v>
      </c>
      <c r="D30" s="1" t="s">
        <v>804</v>
      </c>
      <c r="E30" s="2" t="s">
        <v>207</v>
      </c>
      <c r="F30" s="1">
        <v>1</v>
      </c>
      <c r="G30" s="1">
        <v>1</v>
      </c>
      <c r="H30" t="s">
        <v>804</v>
      </c>
    </row>
    <row r="31" spans="1:18" ht="102" x14ac:dyDescent="0.2">
      <c r="A31" s="1" t="s">
        <v>208</v>
      </c>
      <c r="B31" s="1" t="s">
        <v>209</v>
      </c>
      <c r="C31" s="1" t="s">
        <v>209</v>
      </c>
      <c r="D31" s="1" t="s">
        <v>804</v>
      </c>
      <c r="E31" s="2" t="s">
        <v>209</v>
      </c>
      <c r="F31" s="1">
        <v>1</v>
      </c>
      <c r="G31" s="1">
        <v>1</v>
      </c>
      <c r="H31" t="s">
        <v>804</v>
      </c>
    </row>
    <row r="32" spans="1:18" ht="89.25" x14ac:dyDescent="0.2">
      <c r="A32" s="1" t="s">
        <v>210</v>
      </c>
      <c r="B32" s="1" t="s">
        <v>211</v>
      </c>
      <c r="C32" s="1" t="s">
        <v>211</v>
      </c>
      <c r="D32" s="1" t="s">
        <v>804</v>
      </c>
      <c r="E32" s="2" t="s">
        <v>212</v>
      </c>
      <c r="F32" s="1">
        <v>1</v>
      </c>
      <c r="G32" s="1">
        <v>1</v>
      </c>
      <c r="H32" t="s">
        <v>804</v>
      </c>
    </row>
    <row r="33" spans="1:8" ht="63.75" x14ac:dyDescent="0.2">
      <c r="A33" s="1" t="s">
        <v>213</v>
      </c>
      <c r="B33" s="1" t="s">
        <v>214</v>
      </c>
      <c r="C33" s="1" t="s">
        <v>214</v>
      </c>
      <c r="D33" s="1" t="s">
        <v>804</v>
      </c>
      <c r="E33" s="2" t="s">
        <v>214</v>
      </c>
      <c r="F33" s="1">
        <v>1</v>
      </c>
      <c r="G33" s="1">
        <v>1</v>
      </c>
      <c r="H33" t="s">
        <v>804</v>
      </c>
    </row>
    <row r="34" spans="1:8" ht="63.75" x14ac:dyDescent="0.2">
      <c r="A34" s="1" t="s">
        <v>215</v>
      </c>
      <c r="B34" s="1" t="s">
        <v>216</v>
      </c>
      <c r="C34" s="1" t="s">
        <v>216</v>
      </c>
      <c r="D34" s="1" t="s">
        <v>804</v>
      </c>
      <c r="E34" s="2" t="s">
        <v>217</v>
      </c>
      <c r="F34" s="1">
        <v>1</v>
      </c>
      <c r="G34" s="1">
        <v>1</v>
      </c>
      <c r="H34" t="s">
        <v>804</v>
      </c>
    </row>
    <row r="35" spans="1:8" ht="114.75" x14ac:dyDescent="0.2">
      <c r="A35" s="1" t="s">
        <v>218</v>
      </c>
      <c r="B35" s="1" t="s">
        <v>219</v>
      </c>
      <c r="C35" s="1" t="s">
        <v>219</v>
      </c>
      <c r="D35" s="1" t="s">
        <v>804</v>
      </c>
      <c r="E35" s="2" t="s">
        <v>220</v>
      </c>
      <c r="F35" s="1">
        <v>1</v>
      </c>
      <c r="G35" s="1">
        <v>1</v>
      </c>
      <c r="H35" t="s">
        <v>804</v>
      </c>
    </row>
    <row r="36" spans="1:8" ht="89.25" x14ac:dyDescent="0.2">
      <c r="A36" s="1" t="s">
        <v>221</v>
      </c>
      <c r="B36" s="1" t="s">
        <v>222</v>
      </c>
      <c r="C36" s="1" t="s">
        <v>222</v>
      </c>
      <c r="D36" s="1" t="s">
        <v>804</v>
      </c>
      <c r="E36" s="2" t="s">
        <v>223</v>
      </c>
      <c r="F36" s="1">
        <v>1</v>
      </c>
      <c r="G36" s="1">
        <v>1</v>
      </c>
      <c r="H36" t="s">
        <v>804</v>
      </c>
    </row>
    <row r="37" spans="1:8" ht="76.5" x14ac:dyDescent="0.2">
      <c r="A37" s="1" t="s">
        <v>224</v>
      </c>
      <c r="B37" s="1" t="s">
        <v>225</v>
      </c>
      <c r="C37" s="1" t="s">
        <v>226</v>
      </c>
      <c r="D37" s="1" t="s">
        <v>803</v>
      </c>
      <c r="E37" s="2" t="s">
        <v>225</v>
      </c>
      <c r="F37" s="1" t="s">
        <v>15</v>
      </c>
      <c r="G37" s="1" t="s">
        <v>15</v>
      </c>
      <c r="H37" t="s">
        <v>803</v>
      </c>
    </row>
    <row r="38" spans="1:8" ht="89.25" x14ac:dyDescent="0.2">
      <c r="A38" s="1" t="s">
        <v>227</v>
      </c>
      <c r="B38" s="1" t="s">
        <v>228</v>
      </c>
      <c r="C38" s="1" t="s">
        <v>228</v>
      </c>
      <c r="D38" s="1" t="s">
        <v>804</v>
      </c>
      <c r="E38" s="2" t="s">
        <v>229</v>
      </c>
      <c r="F38" s="1">
        <v>1</v>
      </c>
      <c r="G38" s="1">
        <v>1</v>
      </c>
      <c r="H38" t="s">
        <v>804</v>
      </c>
    </row>
    <row r="39" spans="1:8" ht="51" x14ac:dyDescent="0.2">
      <c r="A39" s="1" t="s">
        <v>230</v>
      </c>
      <c r="B39" s="1" t="s">
        <v>231</v>
      </c>
      <c r="C39" s="1" t="s">
        <v>231</v>
      </c>
      <c r="D39" s="1" t="s">
        <v>804</v>
      </c>
      <c r="E39" s="2" t="s">
        <v>231</v>
      </c>
      <c r="F39" s="1">
        <v>1</v>
      </c>
      <c r="G39" s="1">
        <v>1</v>
      </c>
      <c r="H39" t="s">
        <v>804</v>
      </c>
    </row>
    <row r="40" spans="1:8" ht="76.5" x14ac:dyDescent="0.2">
      <c r="A40" s="1" t="s">
        <v>232</v>
      </c>
      <c r="B40" s="1" t="s">
        <v>233</v>
      </c>
      <c r="C40" s="1" t="s">
        <v>233</v>
      </c>
      <c r="D40" s="1" t="s">
        <v>804</v>
      </c>
      <c r="E40" s="2" t="s">
        <v>234</v>
      </c>
      <c r="F40" s="1">
        <v>1</v>
      </c>
      <c r="G40" s="1">
        <v>1</v>
      </c>
      <c r="H40" t="s">
        <v>804</v>
      </c>
    </row>
    <row r="41" spans="1:8" ht="76.5" x14ac:dyDescent="0.2">
      <c r="A41" s="1" t="s">
        <v>235</v>
      </c>
      <c r="B41" s="1" t="s">
        <v>236</v>
      </c>
      <c r="C41" s="1" t="s">
        <v>236</v>
      </c>
      <c r="D41" s="1" t="s">
        <v>804</v>
      </c>
      <c r="E41" s="2" t="s">
        <v>236</v>
      </c>
      <c r="F41" s="1">
        <v>1</v>
      </c>
      <c r="G41" s="1">
        <v>1</v>
      </c>
      <c r="H41" t="s">
        <v>804</v>
      </c>
    </row>
    <row r="42" spans="1:8" ht="76.5" x14ac:dyDescent="0.2">
      <c r="A42" s="1" t="s">
        <v>237</v>
      </c>
      <c r="B42" s="1" t="s">
        <v>238</v>
      </c>
      <c r="C42" s="1" t="s">
        <v>238</v>
      </c>
      <c r="D42" s="1" t="s">
        <v>804</v>
      </c>
      <c r="E42" s="2" t="s">
        <v>238</v>
      </c>
      <c r="F42" s="1">
        <v>1</v>
      </c>
      <c r="G42" s="1">
        <v>1</v>
      </c>
      <c r="H42" t="s">
        <v>804</v>
      </c>
    </row>
    <row r="43" spans="1:8" ht="76.5" x14ac:dyDescent="0.2">
      <c r="A43" s="1" t="s">
        <v>239</v>
      </c>
      <c r="B43" s="1" t="s">
        <v>240</v>
      </c>
      <c r="C43" s="1" t="s">
        <v>240</v>
      </c>
      <c r="D43" s="1" t="s">
        <v>804</v>
      </c>
      <c r="E43" s="2" t="s">
        <v>241</v>
      </c>
      <c r="F43" s="1">
        <v>1</v>
      </c>
      <c r="G43" s="1">
        <v>1</v>
      </c>
      <c r="H43" t="s">
        <v>804</v>
      </c>
    </row>
    <row r="44" spans="1:8" ht="89.25" x14ac:dyDescent="0.2">
      <c r="A44" s="1" t="s">
        <v>242</v>
      </c>
      <c r="B44" s="1" t="s">
        <v>243</v>
      </c>
      <c r="C44" s="1" t="s">
        <v>243</v>
      </c>
      <c r="D44" s="1" t="s">
        <v>804</v>
      </c>
      <c r="E44" s="2" t="s">
        <v>244</v>
      </c>
      <c r="F44" s="1" t="s">
        <v>15</v>
      </c>
      <c r="G44" s="1" t="s">
        <v>15</v>
      </c>
      <c r="H44" t="s">
        <v>803</v>
      </c>
    </row>
    <row r="45" spans="1:8" ht="102" x14ac:dyDescent="0.2">
      <c r="A45" s="1" t="s">
        <v>245</v>
      </c>
      <c r="B45" s="1" t="s">
        <v>246</v>
      </c>
      <c r="C45" s="1" t="s">
        <v>246</v>
      </c>
      <c r="D45" s="1" t="s">
        <v>804</v>
      </c>
      <c r="E45" s="2" t="s">
        <v>247</v>
      </c>
      <c r="F45" s="1" t="s">
        <v>15</v>
      </c>
      <c r="G45" s="1" t="s">
        <v>15</v>
      </c>
      <c r="H45" t="s">
        <v>803</v>
      </c>
    </row>
    <row r="46" spans="1:8" ht="63.75" x14ac:dyDescent="0.2">
      <c r="A46" s="1" t="s">
        <v>248</v>
      </c>
      <c r="B46" s="1" t="s">
        <v>249</v>
      </c>
      <c r="C46" s="1" t="s">
        <v>249</v>
      </c>
      <c r="D46" s="1" t="s">
        <v>804</v>
      </c>
      <c r="E46" s="2" t="s">
        <v>249</v>
      </c>
      <c r="F46" s="1">
        <v>1</v>
      </c>
      <c r="G46" s="1">
        <v>1</v>
      </c>
      <c r="H46" t="s">
        <v>804</v>
      </c>
    </row>
    <row r="47" spans="1:8" ht="76.5" x14ac:dyDescent="0.2">
      <c r="A47" s="1" t="s">
        <v>250</v>
      </c>
      <c r="B47" s="1" t="s">
        <v>251</v>
      </c>
      <c r="C47" s="1" t="s">
        <v>251</v>
      </c>
      <c r="D47" s="1" t="s">
        <v>804</v>
      </c>
      <c r="E47" s="2" t="s">
        <v>251</v>
      </c>
      <c r="F47" s="1">
        <v>1</v>
      </c>
      <c r="G47" s="1">
        <v>1</v>
      </c>
      <c r="H47" t="s">
        <v>804</v>
      </c>
    </row>
    <row r="48" spans="1:8" ht="102" x14ac:dyDescent="0.2">
      <c r="A48" s="1" t="s">
        <v>252</v>
      </c>
      <c r="B48" s="1" t="s">
        <v>253</v>
      </c>
      <c r="C48" s="1" t="s">
        <v>253</v>
      </c>
      <c r="D48" s="1" t="s">
        <v>804</v>
      </c>
      <c r="E48" s="2" t="s">
        <v>253</v>
      </c>
      <c r="F48" s="1">
        <v>1</v>
      </c>
      <c r="G48" s="1">
        <v>1</v>
      </c>
      <c r="H48" t="s">
        <v>804</v>
      </c>
    </row>
    <row r="49" spans="1:8" ht="76.5" x14ac:dyDescent="0.2">
      <c r="A49" s="1" t="s">
        <v>254</v>
      </c>
      <c r="B49" s="1" t="s">
        <v>255</v>
      </c>
      <c r="C49" s="1" t="s">
        <v>255</v>
      </c>
      <c r="D49" s="1" t="s">
        <v>804</v>
      </c>
      <c r="E49" s="2" t="s">
        <v>255</v>
      </c>
      <c r="F49" s="1">
        <v>1</v>
      </c>
      <c r="G49" s="1">
        <v>1</v>
      </c>
      <c r="H49" t="s">
        <v>804</v>
      </c>
    </row>
    <row r="50" spans="1:8" ht="63.75" x14ac:dyDescent="0.2">
      <c r="A50" s="1" t="s">
        <v>256</v>
      </c>
      <c r="B50" s="1" t="s">
        <v>257</v>
      </c>
      <c r="C50" s="1" t="s">
        <v>257</v>
      </c>
      <c r="D50" s="1" t="s">
        <v>804</v>
      </c>
      <c r="E50" s="2" t="s">
        <v>258</v>
      </c>
      <c r="F50" s="1">
        <v>1</v>
      </c>
      <c r="G50" s="1">
        <v>1</v>
      </c>
      <c r="H50" t="s">
        <v>803</v>
      </c>
    </row>
    <row r="51" spans="1:8" ht="12.75" x14ac:dyDescent="0.2">
      <c r="E51" s="91" t="s">
        <v>837</v>
      </c>
      <c r="F51" s="92">
        <f>SUM(F2:F50)/49</f>
        <v>0.8693877551020408</v>
      </c>
      <c r="G51" s="92">
        <f>SUM(G2:G50)/49</f>
        <v>0.7142857142857143</v>
      </c>
    </row>
    <row r="52" spans="1:8" ht="12.75" x14ac:dyDescent="0.2">
      <c r="E52" s="27"/>
      <c r="F52" s="92" t="s">
        <v>821</v>
      </c>
      <c r="G52" s="92" t="s">
        <v>820</v>
      </c>
    </row>
    <row r="53" spans="1:8" x14ac:dyDescent="0.2">
      <c r="E53" s="91" t="s">
        <v>832</v>
      </c>
      <c r="F53" s="93" t="s">
        <v>841</v>
      </c>
      <c r="G53" s="27" t="s">
        <v>840</v>
      </c>
    </row>
    <row r="54" spans="1:8" ht="15" customHeight="1" x14ac:dyDescent="0.2">
      <c r="E54" s="94" t="s">
        <v>831</v>
      </c>
      <c r="F54" s="93" t="s">
        <v>842</v>
      </c>
      <c r="G54" s="93" t="s">
        <v>843</v>
      </c>
    </row>
    <row r="55" spans="1:8" ht="15" customHeight="1" x14ac:dyDescent="0.2">
      <c r="E55" s="94" t="s">
        <v>844</v>
      </c>
      <c r="F55" s="93" t="s">
        <v>846</v>
      </c>
      <c r="G55" s="93" t="s">
        <v>845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55"/>
  <sheetViews>
    <sheetView topLeftCell="A36" workbookViewId="0">
      <selection activeCell="F53" sqref="F53:F55"/>
    </sheetView>
  </sheetViews>
  <sheetFormatPr defaultColWidth="12.5703125" defaultRowHeight="15" customHeight="1" x14ac:dyDescent="0.2"/>
  <cols>
    <col min="2" max="2" width="17.7109375" customWidth="1"/>
    <col min="3" max="3" width="36.42578125" customWidth="1"/>
    <col min="4" max="4" width="21.42578125" customWidth="1"/>
    <col min="6" max="6" width="16.5703125" customWidth="1"/>
    <col min="11" max="11" width="27.7109375" customWidth="1"/>
    <col min="12" max="12" width="33.5703125" customWidth="1"/>
  </cols>
  <sheetData>
    <row r="1" spans="1:12" ht="15" customHeight="1" x14ac:dyDescent="0.2">
      <c r="A1" s="68" t="s">
        <v>848</v>
      </c>
      <c r="B1" s="72" t="s">
        <v>897</v>
      </c>
      <c r="C1" s="72" t="s">
        <v>849</v>
      </c>
      <c r="D1" s="72" t="s">
        <v>825</v>
      </c>
      <c r="G1" s="68" t="s">
        <v>819</v>
      </c>
    </row>
    <row r="2" spans="1:12" ht="38.25" x14ac:dyDescent="0.2">
      <c r="A2" s="1" t="s">
        <v>529</v>
      </c>
      <c r="B2" s="1" t="s">
        <v>530</v>
      </c>
      <c r="C2" s="1" t="s">
        <v>530</v>
      </c>
      <c r="D2" s="2" t="s">
        <v>531</v>
      </c>
      <c r="E2" s="1">
        <v>1</v>
      </c>
      <c r="F2" s="1">
        <v>1</v>
      </c>
      <c r="G2" s="1" t="s">
        <v>804</v>
      </c>
    </row>
    <row r="3" spans="1:12" ht="38.25" x14ac:dyDescent="0.2">
      <c r="A3" s="1" t="s">
        <v>532</v>
      </c>
      <c r="B3" s="1" t="s">
        <v>533</v>
      </c>
      <c r="C3" s="1" t="s">
        <v>533</v>
      </c>
      <c r="D3" s="2" t="s">
        <v>534</v>
      </c>
      <c r="E3" s="1">
        <v>1</v>
      </c>
      <c r="F3" s="1" t="s">
        <v>23</v>
      </c>
      <c r="G3" s="1" t="s">
        <v>804</v>
      </c>
    </row>
    <row r="4" spans="1:12" ht="38.25" x14ac:dyDescent="0.2">
      <c r="A4" s="1" t="s">
        <v>535</v>
      </c>
      <c r="B4" s="1" t="s">
        <v>536</v>
      </c>
      <c r="C4" s="1" t="s">
        <v>536</v>
      </c>
      <c r="D4" s="2" t="s">
        <v>537</v>
      </c>
      <c r="E4" s="1">
        <v>1</v>
      </c>
      <c r="F4" s="1">
        <v>1</v>
      </c>
      <c r="G4" s="1" t="s">
        <v>804</v>
      </c>
    </row>
    <row r="5" spans="1:12" ht="51" x14ac:dyDescent="0.2">
      <c r="A5" s="1" t="s">
        <v>538</v>
      </c>
      <c r="B5" s="1" t="s">
        <v>539</v>
      </c>
      <c r="C5" s="1" t="s">
        <v>539</v>
      </c>
      <c r="D5" s="2" t="s">
        <v>540</v>
      </c>
      <c r="E5" s="1" t="s">
        <v>23</v>
      </c>
      <c r="F5" s="1">
        <v>1</v>
      </c>
      <c r="G5" s="1" t="s">
        <v>804</v>
      </c>
    </row>
    <row r="6" spans="1:12" ht="15" customHeight="1" x14ac:dyDescent="0.3">
      <c r="A6" s="1" t="s">
        <v>541</v>
      </c>
      <c r="B6" s="1" t="s">
        <v>542</v>
      </c>
      <c r="C6" s="1" t="s">
        <v>542</v>
      </c>
      <c r="D6" s="2" t="s">
        <v>543</v>
      </c>
      <c r="E6" s="1">
        <v>1</v>
      </c>
      <c r="F6" s="1">
        <v>1</v>
      </c>
      <c r="G6" s="1" t="s">
        <v>804</v>
      </c>
      <c r="K6" s="60" t="s">
        <v>800</v>
      </c>
      <c r="L6" s="60" t="s">
        <v>801</v>
      </c>
    </row>
    <row r="7" spans="1:12" ht="27" x14ac:dyDescent="0.3">
      <c r="A7" s="1" t="s">
        <v>544</v>
      </c>
      <c r="B7" s="1" t="s">
        <v>545</v>
      </c>
      <c r="C7" s="1" t="s">
        <v>545</v>
      </c>
      <c r="D7" s="2" t="s">
        <v>546</v>
      </c>
      <c r="E7" s="1">
        <v>1</v>
      </c>
      <c r="F7" s="1">
        <v>1</v>
      </c>
      <c r="G7" s="1" t="s">
        <v>804</v>
      </c>
      <c r="K7" s="61" t="s">
        <v>804</v>
      </c>
      <c r="L7" s="61">
        <v>45</v>
      </c>
    </row>
    <row r="8" spans="1:12" ht="39.75" x14ac:dyDescent="0.3">
      <c r="A8" s="1" t="s">
        <v>547</v>
      </c>
      <c r="B8" s="1" t="s">
        <v>548</v>
      </c>
      <c r="C8" s="1" t="s">
        <v>548</v>
      </c>
      <c r="D8" s="2" t="s">
        <v>549</v>
      </c>
      <c r="E8" s="1">
        <v>1</v>
      </c>
      <c r="F8" s="1">
        <v>1</v>
      </c>
      <c r="G8" s="1" t="s">
        <v>804</v>
      </c>
      <c r="K8" s="61" t="s">
        <v>803</v>
      </c>
      <c r="L8" s="61">
        <v>3</v>
      </c>
    </row>
    <row r="9" spans="1:12" ht="39.75" x14ac:dyDescent="0.3">
      <c r="A9" s="1" t="s">
        <v>550</v>
      </c>
      <c r="B9" s="1" t="s">
        <v>551</v>
      </c>
      <c r="C9" s="1" t="s">
        <v>551</v>
      </c>
      <c r="D9" s="2" t="s">
        <v>552</v>
      </c>
      <c r="E9" s="1">
        <v>1</v>
      </c>
      <c r="F9" s="1">
        <v>1</v>
      </c>
      <c r="G9" s="1" t="s">
        <v>804</v>
      </c>
      <c r="K9" s="60" t="s">
        <v>807</v>
      </c>
      <c r="L9" s="60">
        <v>1</v>
      </c>
    </row>
    <row r="10" spans="1:12" ht="27" x14ac:dyDescent="0.3">
      <c r="A10" s="1" t="s">
        <v>553</v>
      </c>
      <c r="B10" s="1" t="s">
        <v>554</v>
      </c>
      <c r="C10" s="1" t="s">
        <v>555</v>
      </c>
      <c r="D10" s="2" t="s">
        <v>556</v>
      </c>
      <c r="E10" s="1">
        <v>1</v>
      </c>
      <c r="F10" s="1">
        <v>1</v>
      </c>
      <c r="G10" s="1" t="s">
        <v>818</v>
      </c>
      <c r="K10" s="62" t="s">
        <v>802</v>
      </c>
      <c r="L10" s="62">
        <v>1</v>
      </c>
    </row>
    <row r="11" spans="1:12" ht="27" x14ac:dyDescent="0.3">
      <c r="A11" s="1" t="s">
        <v>557</v>
      </c>
      <c r="B11" s="1" t="s">
        <v>558</v>
      </c>
      <c r="C11" s="1" t="s">
        <v>559</v>
      </c>
      <c r="D11" s="2" t="s">
        <v>560</v>
      </c>
      <c r="E11" s="1" t="s">
        <v>493</v>
      </c>
      <c r="F11" s="1" t="s">
        <v>493</v>
      </c>
      <c r="G11" s="1" t="s">
        <v>803</v>
      </c>
      <c r="K11" s="59" t="s">
        <v>814</v>
      </c>
      <c r="L11" s="59">
        <v>49</v>
      </c>
    </row>
    <row r="12" spans="1:12" ht="25.5" x14ac:dyDescent="0.2">
      <c r="A12" s="1" t="s">
        <v>561</v>
      </c>
      <c r="B12" s="1" t="s">
        <v>562</v>
      </c>
      <c r="C12" s="1" t="s">
        <v>562</v>
      </c>
      <c r="D12" s="2" t="s">
        <v>563</v>
      </c>
      <c r="E12" s="1" t="s">
        <v>15</v>
      </c>
      <c r="F12" s="1">
        <v>1</v>
      </c>
      <c r="G12" s="1" t="s">
        <v>804</v>
      </c>
    </row>
    <row r="13" spans="1:12" ht="25.5" x14ac:dyDescent="0.2">
      <c r="A13" s="1" t="s">
        <v>564</v>
      </c>
      <c r="B13" s="1" t="s">
        <v>565</v>
      </c>
      <c r="C13" s="1" t="s">
        <v>565</v>
      </c>
      <c r="D13" s="2" t="s">
        <v>566</v>
      </c>
      <c r="E13" s="1">
        <v>1</v>
      </c>
      <c r="F13" s="1" t="s">
        <v>6</v>
      </c>
      <c r="G13" s="1" t="s">
        <v>804</v>
      </c>
    </row>
    <row r="14" spans="1:12" ht="38.25" x14ac:dyDescent="0.2">
      <c r="A14" s="1" t="s">
        <v>567</v>
      </c>
      <c r="B14" s="1" t="s">
        <v>568</v>
      </c>
      <c r="C14" s="1" t="s">
        <v>568</v>
      </c>
      <c r="D14" s="2" t="s">
        <v>569</v>
      </c>
      <c r="E14" s="1">
        <v>1</v>
      </c>
      <c r="F14" s="1" t="s">
        <v>6</v>
      </c>
      <c r="G14" s="1" t="s">
        <v>804</v>
      </c>
    </row>
    <row r="15" spans="1:12" ht="38.25" x14ac:dyDescent="0.2">
      <c r="A15" s="1" t="s">
        <v>570</v>
      </c>
      <c r="B15" s="1" t="s">
        <v>571</v>
      </c>
      <c r="C15" s="1" t="s">
        <v>571</v>
      </c>
      <c r="D15" s="2" t="s">
        <v>572</v>
      </c>
      <c r="E15" s="1">
        <v>1</v>
      </c>
      <c r="F15" s="1" t="s">
        <v>15</v>
      </c>
      <c r="G15" s="1" t="s">
        <v>804</v>
      </c>
    </row>
    <row r="16" spans="1:12" ht="25.5" x14ac:dyDescent="0.2">
      <c r="A16" s="1" t="s">
        <v>573</v>
      </c>
      <c r="B16" s="1" t="s">
        <v>574</v>
      </c>
      <c r="C16" s="1" t="s">
        <v>574</v>
      </c>
      <c r="D16" s="2" t="s">
        <v>575</v>
      </c>
      <c r="E16" s="1">
        <v>1</v>
      </c>
      <c r="F16" s="1" t="s">
        <v>23</v>
      </c>
      <c r="G16" s="1" t="s">
        <v>804</v>
      </c>
    </row>
    <row r="17" spans="1:7" ht="38.25" x14ac:dyDescent="0.2">
      <c r="A17" s="1" t="s">
        <v>576</v>
      </c>
      <c r="B17" s="1" t="s">
        <v>577</v>
      </c>
      <c r="C17" s="1" t="s">
        <v>577</v>
      </c>
      <c r="D17" s="2" t="s">
        <v>578</v>
      </c>
      <c r="E17" s="1">
        <v>1</v>
      </c>
      <c r="F17" s="1">
        <v>1</v>
      </c>
      <c r="G17" s="1" t="s">
        <v>804</v>
      </c>
    </row>
    <row r="18" spans="1:7" ht="38.25" x14ac:dyDescent="0.2">
      <c r="A18" s="1" t="s">
        <v>579</v>
      </c>
      <c r="B18" s="1" t="s">
        <v>580</v>
      </c>
      <c r="C18" s="1" t="s">
        <v>580</v>
      </c>
      <c r="D18" s="2" t="s">
        <v>581</v>
      </c>
      <c r="E18" s="1">
        <v>1</v>
      </c>
      <c r="F18" s="1">
        <v>1</v>
      </c>
      <c r="G18" s="1" t="s">
        <v>804</v>
      </c>
    </row>
    <row r="19" spans="1:7" ht="38.25" x14ac:dyDescent="0.2">
      <c r="A19" s="1" t="s">
        <v>582</v>
      </c>
      <c r="B19" s="1" t="s">
        <v>583</v>
      </c>
      <c r="C19" s="1" t="s">
        <v>583</v>
      </c>
      <c r="D19" s="2" t="s">
        <v>584</v>
      </c>
      <c r="E19" s="1">
        <v>1</v>
      </c>
      <c r="F19" s="1">
        <v>1</v>
      </c>
      <c r="G19" s="1" t="s">
        <v>804</v>
      </c>
    </row>
    <row r="20" spans="1:7" ht="25.5" x14ac:dyDescent="0.2">
      <c r="A20" s="1" t="s">
        <v>585</v>
      </c>
      <c r="B20" s="1" t="s">
        <v>586</v>
      </c>
      <c r="C20" s="1" t="s">
        <v>586</v>
      </c>
      <c r="D20" s="2" t="s">
        <v>587</v>
      </c>
      <c r="E20" s="1">
        <v>1</v>
      </c>
      <c r="F20" s="1">
        <v>1</v>
      </c>
      <c r="G20" s="1" t="s">
        <v>804</v>
      </c>
    </row>
    <row r="21" spans="1:7" ht="25.5" x14ac:dyDescent="0.2">
      <c r="A21" s="1" t="s">
        <v>588</v>
      </c>
      <c r="B21" s="1" t="s">
        <v>589</v>
      </c>
      <c r="C21" s="1" t="s">
        <v>589</v>
      </c>
      <c r="D21" s="2" t="s">
        <v>590</v>
      </c>
      <c r="E21" s="1">
        <v>1</v>
      </c>
      <c r="F21" s="1">
        <v>1</v>
      </c>
      <c r="G21" s="1" t="s">
        <v>804</v>
      </c>
    </row>
    <row r="22" spans="1:7" ht="51" x14ac:dyDescent="0.2">
      <c r="A22" s="1" t="s">
        <v>591</v>
      </c>
      <c r="B22" s="1" t="s">
        <v>592</v>
      </c>
      <c r="C22" s="1" t="s">
        <v>592</v>
      </c>
      <c r="D22" s="2" t="s">
        <v>593</v>
      </c>
      <c r="E22" s="1">
        <v>1</v>
      </c>
      <c r="F22" s="1">
        <v>1</v>
      </c>
      <c r="G22" s="1" t="s">
        <v>804</v>
      </c>
    </row>
    <row r="23" spans="1:7" ht="51" x14ac:dyDescent="0.2">
      <c r="A23" s="1" t="s">
        <v>594</v>
      </c>
      <c r="B23" s="1" t="s">
        <v>595</v>
      </c>
      <c r="C23" s="1" t="s">
        <v>595</v>
      </c>
      <c r="D23" s="2" t="s">
        <v>596</v>
      </c>
      <c r="E23" s="1" t="s">
        <v>15</v>
      </c>
      <c r="F23" s="1" t="s">
        <v>15</v>
      </c>
      <c r="G23" s="1" t="s">
        <v>804</v>
      </c>
    </row>
    <row r="24" spans="1:7" ht="25.5" x14ac:dyDescent="0.2">
      <c r="A24" s="1" t="s">
        <v>597</v>
      </c>
      <c r="B24" s="1" t="s">
        <v>598</v>
      </c>
      <c r="C24" s="1" t="s">
        <v>598</v>
      </c>
      <c r="D24" s="2" t="s">
        <v>599</v>
      </c>
      <c r="E24" s="1">
        <v>1</v>
      </c>
      <c r="F24" s="1">
        <v>1</v>
      </c>
      <c r="G24" s="1" t="s">
        <v>804</v>
      </c>
    </row>
    <row r="25" spans="1:7" ht="25.5" x14ac:dyDescent="0.2">
      <c r="A25" s="1" t="s">
        <v>600</v>
      </c>
      <c r="B25" s="1" t="s">
        <v>601</v>
      </c>
      <c r="C25" s="1" t="s">
        <v>602</v>
      </c>
      <c r="D25" s="2" t="s">
        <v>603</v>
      </c>
      <c r="E25" s="1" t="s">
        <v>15</v>
      </c>
      <c r="F25" s="1" t="s">
        <v>6</v>
      </c>
      <c r="G25" s="1" t="s">
        <v>803</v>
      </c>
    </row>
    <row r="26" spans="1:7" ht="38.25" x14ac:dyDescent="0.2">
      <c r="A26" s="1" t="s">
        <v>604</v>
      </c>
      <c r="B26" s="1" t="s">
        <v>605</v>
      </c>
      <c r="C26" s="1" t="s">
        <v>605</v>
      </c>
      <c r="D26" s="2" t="s">
        <v>605</v>
      </c>
      <c r="E26" s="1">
        <v>1</v>
      </c>
      <c r="F26" s="1">
        <v>1</v>
      </c>
      <c r="G26" s="1" t="s">
        <v>804</v>
      </c>
    </row>
    <row r="27" spans="1:7" ht="38.25" x14ac:dyDescent="0.2">
      <c r="A27" s="1" t="s">
        <v>606</v>
      </c>
      <c r="B27" s="1" t="s">
        <v>607</v>
      </c>
      <c r="C27" s="1" t="s">
        <v>607</v>
      </c>
      <c r="D27" s="2" t="s">
        <v>608</v>
      </c>
      <c r="E27" s="1">
        <v>1</v>
      </c>
      <c r="F27" s="1">
        <v>1</v>
      </c>
      <c r="G27" s="1" t="s">
        <v>804</v>
      </c>
    </row>
    <row r="28" spans="1:7" ht="38.25" x14ac:dyDescent="0.2">
      <c r="A28" s="1" t="s">
        <v>609</v>
      </c>
      <c r="B28" s="1" t="s">
        <v>610</v>
      </c>
      <c r="C28" s="1" t="s">
        <v>610</v>
      </c>
      <c r="D28" s="2" t="s">
        <v>611</v>
      </c>
      <c r="E28" s="1" t="s">
        <v>15</v>
      </c>
      <c r="F28" s="1" t="s">
        <v>15</v>
      </c>
      <c r="G28" s="1" t="s">
        <v>804</v>
      </c>
    </row>
    <row r="29" spans="1:7" ht="25.5" x14ac:dyDescent="0.2">
      <c r="A29" s="1" t="s">
        <v>612</v>
      </c>
      <c r="B29" s="1" t="s">
        <v>613</v>
      </c>
      <c r="C29" s="1" t="s">
        <v>613</v>
      </c>
      <c r="D29" s="2" t="s">
        <v>614</v>
      </c>
      <c r="E29" s="1">
        <v>1</v>
      </c>
      <c r="F29" s="1">
        <v>1</v>
      </c>
      <c r="G29" s="1" t="s">
        <v>804</v>
      </c>
    </row>
    <row r="30" spans="1:7" ht="38.25" x14ac:dyDescent="0.2">
      <c r="A30" s="1" t="s">
        <v>615</v>
      </c>
      <c r="B30" s="1" t="s">
        <v>616</v>
      </c>
      <c r="C30" s="1" t="s">
        <v>616</v>
      </c>
      <c r="D30" s="2" t="s">
        <v>616</v>
      </c>
      <c r="E30" s="1">
        <v>1</v>
      </c>
      <c r="F30" s="1">
        <v>1</v>
      </c>
      <c r="G30" s="1" t="s">
        <v>804</v>
      </c>
    </row>
    <row r="31" spans="1:7" ht="38.25" x14ac:dyDescent="0.2">
      <c r="A31" s="1" t="s">
        <v>617</v>
      </c>
      <c r="B31" s="1" t="s">
        <v>618</v>
      </c>
      <c r="C31" s="1" t="s">
        <v>618</v>
      </c>
      <c r="D31" s="2" t="s">
        <v>619</v>
      </c>
      <c r="E31" s="1">
        <v>1</v>
      </c>
      <c r="F31" s="1">
        <v>1</v>
      </c>
      <c r="G31" s="1" t="s">
        <v>804</v>
      </c>
    </row>
    <row r="32" spans="1:7" ht="51" x14ac:dyDescent="0.2">
      <c r="A32" s="1" t="s">
        <v>620</v>
      </c>
      <c r="B32" s="1" t="s">
        <v>621</v>
      </c>
      <c r="C32" s="1" t="s">
        <v>621</v>
      </c>
      <c r="D32" s="2" t="s">
        <v>622</v>
      </c>
      <c r="E32" s="1">
        <v>1</v>
      </c>
      <c r="F32" s="1">
        <v>1</v>
      </c>
      <c r="G32" s="1" t="s">
        <v>804</v>
      </c>
    </row>
    <row r="33" spans="1:7" ht="38.25" x14ac:dyDescent="0.2">
      <c r="A33" s="1" t="s">
        <v>623</v>
      </c>
      <c r="B33" s="1" t="s">
        <v>624</v>
      </c>
      <c r="C33" s="1" t="s">
        <v>624</v>
      </c>
      <c r="D33" s="2" t="s">
        <v>625</v>
      </c>
      <c r="E33" s="1">
        <v>1</v>
      </c>
      <c r="F33" s="1">
        <v>1</v>
      </c>
      <c r="G33" s="1" t="s">
        <v>804</v>
      </c>
    </row>
    <row r="34" spans="1:7" ht="38.25" x14ac:dyDescent="0.2">
      <c r="A34" s="1" t="s">
        <v>626</v>
      </c>
      <c r="B34" s="1" t="s">
        <v>627</v>
      </c>
      <c r="C34" s="1" t="s">
        <v>627</v>
      </c>
      <c r="D34" s="2" t="s">
        <v>628</v>
      </c>
      <c r="E34" s="1">
        <v>1</v>
      </c>
      <c r="F34" s="1">
        <v>1</v>
      </c>
      <c r="G34" s="1" t="s">
        <v>804</v>
      </c>
    </row>
    <row r="35" spans="1:7" ht="51" x14ac:dyDescent="0.2">
      <c r="A35" s="1" t="s">
        <v>629</v>
      </c>
      <c r="B35" s="1" t="s">
        <v>630</v>
      </c>
      <c r="C35" s="1" t="s">
        <v>630</v>
      </c>
      <c r="D35" s="2" t="s">
        <v>631</v>
      </c>
      <c r="E35" s="1">
        <v>1</v>
      </c>
      <c r="F35" s="1" t="s">
        <v>15</v>
      </c>
      <c r="G35" s="1" t="s">
        <v>804</v>
      </c>
    </row>
    <row r="36" spans="1:7" ht="38.25" x14ac:dyDescent="0.2">
      <c r="A36" s="1" t="s">
        <v>632</v>
      </c>
      <c r="B36" s="1" t="s">
        <v>633</v>
      </c>
      <c r="C36" s="1" t="s">
        <v>633</v>
      </c>
      <c r="D36" s="2" t="s">
        <v>634</v>
      </c>
      <c r="E36" s="1">
        <v>1</v>
      </c>
      <c r="F36" s="1">
        <v>1</v>
      </c>
      <c r="G36" s="1" t="s">
        <v>804</v>
      </c>
    </row>
    <row r="37" spans="1:7" ht="38.25" x14ac:dyDescent="0.2">
      <c r="A37" s="1" t="s">
        <v>635</v>
      </c>
      <c r="B37" s="1" t="s">
        <v>636</v>
      </c>
      <c r="C37" s="1" t="s">
        <v>636</v>
      </c>
      <c r="D37" s="2" t="s">
        <v>636</v>
      </c>
      <c r="E37" s="1">
        <v>1</v>
      </c>
      <c r="F37" s="1">
        <v>1</v>
      </c>
      <c r="G37" s="1" t="s">
        <v>804</v>
      </c>
    </row>
    <row r="38" spans="1:7" ht="38.25" x14ac:dyDescent="0.2">
      <c r="A38" s="1" t="s">
        <v>637</v>
      </c>
      <c r="B38" s="1" t="s">
        <v>638</v>
      </c>
      <c r="C38" s="1" t="s">
        <v>638</v>
      </c>
      <c r="D38" s="2" t="s">
        <v>639</v>
      </c>
      <c r="E38" s="1" t="s">
        <v>15</v>
      </c>
      <c r="F38" s="1">
        <v>1</v>
      </c>
      <c r="G38" s="1" t="s">
        <v>804</v>
      </c>
    </row>
    <row r="39" spans="1:7" ht="51" x14ac:dyDescent="0.2">
      <c r="A39" s="1" t="s">
        <v>640</v>
      </c>
      <c r="B39" s="1" t="s">
        <v>641</v>
      </c>
      <c r="C39" s="1" t="s">
        <v>641</v>
      </c>
      <c r="D39" s="2" t="s">
        <v>642</v>
      </c>
      <c r="E39" s="1">
        <v>1</v>
      </c>
      <c r="F39" s="1">
        <v>1</v>
      </c>
      <c r="G39" s="1" t="s">
        <v>804</v>
      </c>
    </row>
    <row r="40" spans="1:7" ht="25.5" x14ac:dyDescent="0.2">
      <c r="A40" s="1" t="s">
        <v>643</v>
      </c>
      <c r="B40" s="1" t="s">
        <v>644</v>
      </c>
      <c r="C40" s="1" t="s">
        <v>644</v>
      </c>
      <c r="D40" s="2" t="s">
        <v>645</v>
      </c>
      <c r="E40" s="1">
        <v>1</v>
      </c>
      <c r="F40" s="1" t="s">
        <v>15</v>
      </c>
      <c r="G40" s="1" t="s">
        <v>804</v>
      </c>
    </row>
    <row r="41" spans="1:7" ht="25.5" x14ac:dyDescent="0.2">
      <c r="A41" s="1" t="s">
        <v>646</v>
      </c>
      <c r="B41" s="1" t="s">
        <v>647</v>
      </c>
      <c r="C41" s="1" t="s">
        <v>647</v>
      </c>
      <c r="D41" s="2" t="s">
        <v>648</v>
      </c>
      <c r="E41" s="1">
        <v>1</v>
      </c>
      <c r="F41" s="1">
        <v>1</v>
      </c>
      <c r="G41" s="1" t="s">
        <v>804</v>
      </c>
    </row>
    <row r="42" spans="1:7" ht="25.5" x14ac:dyDescent="0.2">
      <c r="A42" s="1" t="s">
        <v>649</v>
      </c>
      <c r="B42" s="1" t="s">
        <v>650</v>
      </c>
      <c r="C42" s="1" t="s">
        <v>650</v>
      </c>
      <c r="D42" s="2" t="s">
        <v>651</v>
      </c>
      <c r="E42" s="1">
        <v>1</v>
      </c>
      <c r="F42" s="1" t="s">
        <v>15</v>
      </c>
      <c r="G42" s="1" t="s">
        <v>804</v>
      </c>
    </row>
    <row r="43" spans="1:7" ht="38.25" x14ac:dyDescent="0.2">
      <c r="A43" s="1" t="s">
        <v>652</v>
      </c>
      <c r="B43" s="1" t="s">
        <v>653</v>
      </c>
      <c r="C43" s="1" t="s">
        <v>653</v>
      </c>
      <c r="D43" s="2" t="s">
        <v>654</v>
      </c>
      <c r="E43" s="1">
        <v>1</v>
      </c>
      <c r="F43" s="1">
        <v>1</v>
      </c>
      <c r="G43" s="1" t="s">
        <v>804</v>
      </c>
    </row>
    <row r="44" spans="1:7" ht="38.25" x14ac:dyDescent="0.2">
      <c r="A44" s="1" t="s">
        <v>655</v>
      </c>
      <c r="B44" s="1" t="s">
        <v>656</v>
      </c>
      <c r="C44" s="1" t="s">
        <v>656</v>
      </c>
      <c r="D44" s="2" t="s">
        <v>657</v>
      </c>
      <c r="E44" s="1">
        <v>1</v>
      </c>
      <c r="F44" s="1">
        <v>1</v>
      </c>
      <c r="G44" s="1" t="s">
        <v>804</v>
      </c>
    </row>
    <row r="45" spans="1:7" ht="25.5" x14ac:dyDescent="0.2">
      <c r="A45" s="1" t="s">
        <v>658</v>
      </c>
      <c r="B45" s="1" t="s">
        <v>659</v>
      </c>
      <c r="C45" s="1" t="s">
        <v>659</v>
      </c>
      <c r="D45" s="2" t="s">
        <v>660</v>
      </c>
      <c r="E45" s="1">
        <v>1</v>
      </c>
      <c r="F45" s="1" t="s">
        <v>15</v>
      </c>
      <c r="G45" s="1" t="s">
        <v>804</v>
      </c>
    </row>
    <row r="46" spans="1:7" ht="38.25" x14ac:dyDescent="0.2">
      <c r="A46" s="1" t="s">
        <v>661</v>
      </c>
      <c r="B46" s="1" t="s">
        <v>662</v>
      </c>
      <c r="C46" s="1" t="s">
        <v>662</v>
      </c>
      <c r="D46" s="2" t="s">
        <v>662</v>
      </c>
      <c r="E46" s="1">
        <v>1</v>
      </c>
      <c r="F46" s="1">
        <v>1</v>
      </c>
      <c r="G46" s="1" t="s">
        <v>804</v>
      </c>
    </row>
    <row r="47" spans="1:7" ht="38.25" x14ac:dyDescent="0.2">
      <c r="A47" s="1" t="s">
        <v>663</v>
      </c>
      <c r="B47" s="1" t="s">
        <v>664</v>
      </c>
      <c r="C47" s="1" t="s">
        <v>664</v>
      </c>
      <c r="D47" s="2" t="s">
        <v>665</v>
      </c>
      <c r="E47" s="1">
        <v>1</v>
      </c>
      <c r="F47" s="1">
        <v>1</v>
      </c>
      <c r="G47" s="1" t="s">
        <v>804</v>
      </c>
    </row>
    <row r="48" spans="1:7" ht="25.5" x14ac:dyDescent="0.2">
      <c r="A48" s="1" t="s">
        <v>666</v>
      </c>
      <c r="B48" s="1" t="s">
        <v>667</v>
      </c>
      <c r="C48" s="1" t="s">
        <v>667</v>
      </c>
      <c r="D48" s="2" t="s">
        <v>667</v>
      </c>
      <c r="E48" s="1">
        <v>1</v>
      </c>
      <c r="F48" s="1">
        <v>1</v>
      </c>
      <c r="G48" s="1" t="s">
        <v>804</v>
      </c>
    </row>
    <row r="49" spans="1:7" ht="25.5" x14ac:dyDescent="0.2">
      <c r="A49" s="1" t="s">
        <v>668</v>
      </c>
      <c r="B49" s="1" t="s">
        <v>669</v>
      </c>
      <c r="C49" s="1" t="s">
        <v>669</v>
      </c>
      <c r="D49" s="2" t="s">
        <v>670</v>
      </c>
      <c r="E49" s="1">
        <v>1</v>
      </c>
      <c r="F49" s="1">
        <v>1</v>
      </c>
      <c r="G49" s="1" t="s">
        <v>804</v>
      </c>
    </row>
    <row r="50" spans="1:7" ht="25.5" x14ac:dyDescent="0.2">
      <c r="A50" s="1" t="s">
        <v>671</v>
      </c>
      <c r="B50" s="1" t="s">
        <v>672</v>
      </c>
      <c r="C50" s="1" t="s">
        <v>673</v>
      </c>
      <c r="D50" s="2" t="s">
        <v>674</v>
      </c>
      <c r="E50" s="1" t="s">
        <v>6</v>
      </c>
      <c r="F50" s="1" t="s">
        <v>6</v>
      </c>
      <c r="G50" s="1" t="s">
        <v>803</v>
      </c>
    </row>
    <row r="51" spans="1:7" ht="15" customHeight="1" x14ac:dyDescent="0.25">
      <c r="D51" s="95" t="s">
        <v>827</v>
      </c>
      <c r="E51" s="30">
        <f>SUM(E2:E50)/49</f>
        <v>0.83673469387755106</v>
      </c>
      <c r="F51" s="30">
        <f>SUM(F2:F50)/49</f>
        <v>0.7142857142857143</v>
      </c>
    </row>
    <row r="52" spans="1:7" ht="15" customHeight="1" x14ac:dyDescent="0.25">
      <c r="D52" s="95"/>
      <c r="E52" s="30" t="s">
        <v>822</v>
      </c>
      <c r="F52" s="30" t="s">
        <v>823</v>
      </c>
    </row>
    <row r="53" spans="1:7" ht="15" customHeight="1" x14ac:dyDescent="0.2">
      <c r="D53" s="95" t="s">
        <v>832</v>
      </c>
      <c r="E53" s="93" t="s">
        <v>850</v>
      </c>
      <c r="F53" s="93" t="s">
        <v>851</v>
      </c>
    </row>
    <row r="54" spans="1:7" ht="15" customHeight="1" x14ac:dyDescent="0.2">
      <c r="D54" s="95" t="s">
        <v>828</v>
      </c>
      <c r="E54" s="93" t="s">
        <v>853</v>
      </c>
      <c r="F54" s="93" t="s">
        <v>852</v>
      </c>
    </row>
    <row r="55" spans="1:7" ht="15" customHeight="1" x14ac:dyDescent="0.2">
      <c r="D55" s="95" t="s">
        <v>847</v>
      </c>
      <c r="E55" s="93" t="s">
        <v>854</v>
      </c>
      <c r="F55" s="93" t="s">
        <v>855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56"/>
  <sheetViews>
    <sheetView topLeftCell="A42" workbookViewId="0">
      <selection activeCell="L6" sqref="L6"/>
    </sheetView>
  </sheetViews>
  <sheetFormatPr defaultColWidth="12.5703125" defaultRowHeight="15" customHeight="1" x14ac:dyDescent="0.2"/>
  <cols>
    <col min="7" max="7" width="19.140625" customWidth="1"/>
    <col min="12" max="12" width="23.42578125" customWidth="1"/>
    <col min="13" max="13" width="24.28515625" customWidth="1"/>
    <col min="18" max="18" width="18.7109375" customWidth="1"/>
  </cols>
  <sheetData>
    <row r="1" spans="1:17" ht="15" customHeight="1" x14ac:dyDescent="0.2">
      <c r="A1" s="97" t="s">
        <v>0</v>
      </c>
      <c r="B1" s="97" t="s">
        <v>898</v>
      </c>
      <c r="C1" s="97" t="s">
        <v>856</v>
      </c>
      <c r="D1" s="97" t="s">
        <v>863</v>
      </c>
      <c r="E1" s="96"/>
      <c r="F1" s="96"/>
      <c r="G1" s="97" t="s">
        <v>819</v>
      </c>
    </row>
    <row r="2" spans="1:17" ht="38.25" x14ac:dyDescent="0.2">
      <c r="A2" s="1" t="s">
        <v>415</v>
      </c>
      <c r="B2" s="1" t="s">
        <v>416</v>
      </c>
      <c r="C2" s="1" t="s">
        <v>416</v>
      </c>
      <c r="D2" s="2" t="s">
        <v>416</v>
      </c>
      <c r="E2" s="1">
        <v>1</v>
      </c>
      <c r="F2" s="1">
        <v>1</v>
      </c>
      <c r="G2" s="1" t="s">
        <v>811</v>
      </c>
    </row>
    <row r="3" spans="1:17" ht="51" x14ac:dyDescent="0.2">
      <c r="A3" s="1" t="s">
        <v>417</v>
      </c>
      <c r="B3" s="1" t="s">
        <v>418</v>
      </c>
      <c r="C3" s="1" t="s">
        <v>419</v>
      </c>
      <c r="D3" s="2" t="s">
        <v>418</v>
      </c>
      <c r="E3" s="1" t="s">
        <v>23</v>
      </c>
      <c r="F3" s="1" t="s">
        <v>23</v>
      </c>
      <c r="G3" s="1" t="s">
        <v>803</v>
      </c>
    </row>
    <row r="4" spans="1:17" ht="25.5" x14ac:dyDescent="0.2">
      <c r="A4" s="1" t="s">
        <v>420</v>
      </c>
      <c r="B4" s="1" t="s">
        <v>421</v>
      </c>
      <c r="C4" s="1" t="s">
        <v>422</v>
      </c>
      <c r="D4" s="2" t="s">
        <v>421</v>
      </c>
      <c r="E4" s="1" t="s">
        <v>23</v>
      </c>
      <c r="F4" s="1" t="s">
        <v>23</v>
      </c>
      <c r="G4" s="1" t="s">
        <v>808</v>
      </c>
    </row>
    <row r="5" spans="1:17" ht="25.5" x14ac:dyDescent="0.2">
      <c r="A5" s="1" t="s">
        <v>423</v>
      </c>
      <c r="B5" s="1" t="s">
        <v>424</v>
      </c>
      <c r="C5" s="1" t="s">
        <v>424</v>
      </c>
      <c r="D5" s="2" t="s">
        <v>424</v>
      </c>
      <c r="E5" s="1">
        <v>1</v>
      </c>
      <c r="F5" s="1">
        <v>1</v>
      </c>
      <c r="G5" s="1" t="s">
        <v>811</v>
      </c>
    </row>
    <row r="6" spans="1:17" ht="38.25" x14ac:dyDescent="0.2">
      <c r="A6" s="1" t="s">
        <v>425</v>
      </c>
      <c r="B6" s="1" t="s">
        <v>426</v>
      </c>
      <c r="C6" s="1" t="s">
        <v>427</v>
      </c>
      <c r="D6" s="2" t="s">
        <v>426</v>
      </c>
      <c r="E6" s="1" t="s">
        <v>23</v>
      </c>
      <c r="F6" s="1" t="s">
        <v>23</v>
      </c>
      <c r="G6" s="1" t="s">
        <v>809</v>
      </c>
    </row>
    <row r="7" spans="1:17" ht="63.75" x14ac:dyDescent="0.2">
      <c r="A7" s="1" t="s">
        <v>428</v>
      </c>
      <c r="B7" s="1" t="s">
        <v>429</v>
      </c>
      <c r="C7" s="1" t="s">
        <v>429</v>
      </c>
      <c r="D7" s="2" t="s">
        <v>430</v>
      </c>
      <c r="E7" s="1">
        <v>1</v>
      </c>
      <c r="F7" s="1">
        <v>1</v>
      </c>
      <c r="G7" s="1" t="s">
        <v>811</v>
      </c>
    </row>
    <row r="8" spans="1:17" ht="38.25" x14ac:dyDescent="0.2">
      <c r="A8" s="1" t="s">
        <v>431</v>
      </c>
      <c r="B8" s="1" t="s">
        <v>432</v>
      </c>
      <c r="C8" s="1" t="s">
        <v>432</v>
      </c>
      <c r="D8" s="2" t="s">
        <v>432</v>
      </c>
      <c r="E8" s="1">
        <v>1</v>
      </c>
      <c r="F8" s="1">
        <v>1</v>
      </c>
      <c r="G8" s="1" t="s">
        <v>811</v>
      </c>
    </row>
    <row r="9" spans="1:17" ht="25.5" x14ac:dyDescent="0.2">
      <c r="A9" s="1" t="s">
        <v>433</v>
      </c>
      <c r="B9" s="1" t="s">
        <v>434</v>
      </c>
      <c r="C9" s="1" t="s">
        <v>434</v>
      </c>
      <c r="D9" s="2" t="s">
        <v>434</v>
      </c>
      <c r="E9" s="1">
        <v>1</v>
      </c>
      <c r="F9" s="1">
        <v>1</v>
      </c>
      <c r="G9" s="1" t="s">
        <v>811</v>
      </c>
    </row>
    <row r="10" spans="1:17" ht="25.5" x14ac:dyDescent="0.2">
      <c r="A10" s="1" t="s">
        <v>435</v>
      </c>
      <c r="B10" s="1" t="s">
        <v>436</v>
      </c>
      <c r="C10" s="1" t="s">
        <v>437</v>
      </c>
      <c r="D10" s="2" t="s">
        <v>436</v>
      </c>
      <c r="E10" s="1" t="s">
        <v>23</v>
      </c>
      <c r="F10" s="1" t="s">
        <v>23</v>
      </c>
      <c r="G10" s="1" t="s">
        <v>802</v>
      </c>
    </row>
    <row r="11" spans="1:17" ht="39" x14ac:dyDescent="0.25">
      <c r="A11" s="1" t="s">
        <v>438</v>
      </c>
      <c r="B11" s="1" t="s">
        <v>439</v>
      </c>
      <c r="C11" s="1" t="s">
        <v>439</v>
      </c>
      <c r="D11" s="2" t="s">
        <v>439</v>
      </c>
      <c r="E11" s="1">
        <v>1</v>
      </c>
      <c r="F11" s="1">
        <v>1</v>
      </c>
      <c r="G11" s="1" t="s">
        <v>811</v>
      </c>
      <c r="L11" s="51" t="s">
        <v>800</v>
      </c>
      <c r="M11" s="51" t="s">
        <v>801</v>
      </c>
      <c r="P11" s="14"/>
      <c r="Q11" s="14"/>
    </row>
    <row r="12" spans="1:17" ht="25.5" x14ac:dyDescent="0.2">
      <c r="A12" s="1" t="s">
        <v>440</v>
      </c>
      <c r="B12" s="1" t="s">
        <v>441</v>
      </c>
      <c r="C12" s="1" t="s">
        <v>441</v>
      </c>
      <c r="D12" s="2" t="s">
        <v>441</v>
      </c>
      <c r="E12" s="1">
        <v>1</v>
      </c>
      <c r="F12" s="1">
        <v>1</v>
      </c>
      <c r="G12" s="1" t="s">
        <v>811</v>
      </c>
      <c r="L12" s="52" t="s">
        <v>811</v>
      </c>
      <c r="M12" s="53">
        <v>41</v>
      </c>
      <c r="P12" s="24"/>
      <c r="Q12" s="25"/>
    </row>
    <row r="13" spans="1:17" ht="38.25" x14ac:dyDescent="0.2">
      <c r="A13" s="1" t="s">
        <v>442</v>
      </c>
      <c r="B13" s="1" t="s">
        <v>443</v>
      </c>
      <c r="C13" s="1" t="s">
        <v>443</v>
      </c>
      <c r="D13" s="2" t="s">
        <v>444</v>
      </c>
      <c r="E13" s="1">
        <v>1</v>
      </c>
      <c r="F13" s="1">
        <v>1</v>
      </c>
      <c r="G13" s="1" t="s">
        <v>811</v>
      </c>
      <c r="L13" s="54" t="s">
        <v>803</v>
      </c>
      <c r="M13" s="55">
        <v>3</v>
      </c>
      <c r="P13" s="26"/>
      <c r="Q13" s="24"/>
    </row>
    <row r="14" spans="1:17" ht="38.25" x14ac:dyDescent="0.2">
      <c r="A14" s="1" t="s">
        <v>445</v>
      </c>
      <c r="B14" s="1" t="s">
        <v>446</v>
      </c>
      <c r="C14" s="1" t="s">
        <v>446</v>
      </c>
      <c r="D14" s="2" t="s">
        <v>446</v>
      </c>
      <c r="E14" s="1">
        <v>1</v>
      </c>
      <c r="F14" s="1">
        <v>1</v>
      </c>
      <c r="G14" s="1" t="s">
        <v>811</v>
      </c>
      <c r="L14" s="56" t="s">
        <v>810</v>
      </c>
      <c r="M14" s="57">
        <v>2</v>
      </c>
      <c r="P14" s="20"/>
      <c r="Q14" s="21"/>
    </row>
    <row r="15" spans="1:17" ht="63.75" x14ac:dyDescent="0.2">
      <c r="A15" s="1" t="s">
        <v>447</v>
      </c>
      <c r="B15" s="1" t="s">
        <v>448</v>
      </c>
      <c r="C15" s="1" t="s">
        <v>449</v>
      </c>
      <c r="D15" s="2" t="s">
        <v>448</v>
      </c>
      <c r="E15" s="1">
        <v>1</v>
      </c>
      <c r="F15" s="1">
        <v>1</v>
      </c>
      <c r="G15" s="32" t="s">
        <v>802</v>
      </c>
      <c r="L15" s="27" t="s">
        <v>816</v>
      </c>
      <c r="M15" s="27">
        <v>3</v>
      </c>
      <c r="P15" s="20"/>
      <c r="Q15" s="21"/>
    </row>
    <row r="16" spans="1:17" ht="38.25" x14ac:dyDescent="0.2">
      <c r="A16" s="1" t="s">
        <v>450</v>
      </c>
      <c r="B16" s="1" t="s">
        <v>451</v>
      </c>
      <c r="C16" s="1" t="s">
        <v>451</v>
      </c>
      <c r="D16" s="2" t="s">
        <v>451</v>
      </c>
      <c r="E16" s="1">
        <v>1</v>
      </c>
      <c r="F16" s="1">
        <v>1</v>
      </c>
      <c r="G16" s="1" t="s">
        <v>811</v>
      </c>
      <c r="L16" s="27" t="s">
        <v>808</v>
      </c>
      <c r="M16" s="27">
        <v>1</v>
      </c>
      <c r="P16" s="24"/>
      <c r="Q16" s="25"/>
    </row>
    <row r="17" spans="1:17" ht="38.25" x14ac:dyDescent="0.2">
      <c r="A17" s="1" t="s">
        <v>452</v>
      </c>
      <c r="B17" s="1" t="s">
        <v>453</v>
      </c>
      <c r="C17" s="1" t="s">
        <v>453</v>
      </c>
      <c r="D17" s="2" t="s">
        <v>453</v>
      </c>
      <c r="E17" s="1">
        <v>1</v>
      </c>
      <c r="F17" s="1">
        <v>1</v>
      </c>
      <c r="G17" s="1" t="s">
        <v>811</v>
      </c>
      <c r="L17" s="27" t="s">
        <v>817</v>
      </c>
      <c r="M17" s="27">
        <v>1</v>
      </c>
      <c r="P17" s="20"/>
      <c r="Q17" s="21"/>
    </row>
    <row r="18" spans="1:17" ht="39.75" x14ac:dyDescent="0.3">
      <c r="A18" s="1" t="s">
        <v>454</v>
      </c>
      <c r="B18" s="1" t="s">
        <v>455</v>
      </c>
      <c r="C18" s="1" t="s">
        <v>455</v>
      </c>
      <c r="D18" s="2" t="s">
        <v>455</v>
      </c>
      <c r="E18" s="1">
        <v>1</v>
      </c>
      <c r="F18" s="1">
        <v>1</v>
      </c>
      <c r="G18" s="1" t="s">
        <v>811</v>
      </c>
      <c r="L18" s="50" t="s">
        <v>814</v>
      </c>
      <c r="M18" s="50">
        <v>50</v>
      </c>
      <c r="P18" s="20"/>
      <c r="Q18" s="21"/>
    </row>
    <row r="19" spans="1:17" ht="51" x14ac:dyDescent="0.2">
      <c r="A19" s="1" t="s">
        <v>456</v>
      </c>
      <c r="B19" s="1" t="s">
        <v>457</v>
      </c>
      <c r="C19" s="1" t="s">
        <v>457</v>
      </c>
      <c r="D19" s="2" t="s">
        <v>457</v>
      </c>
      <c r="E19" s="1">
        <v>1</v>
      </c>
      <c r="F19" s="1">
        <v>1</v>
      </c>
      <c r="G19" s="1" t="s">
        <v>811</v>
      </c>
      <c r="P19" s="24"/>
      <c r="Q19" s="25"/>
    </row>
    <row r="20" spans="1:17" ht="38.25" x14ac:dyDescent="0.2">
      <c r="A20" s="1" t="s">
        <v>458</v>
      </c>
      <c r="B20" s="1" t="s">
        <v>459</v>
      </c>
      <c r="C20" s="1" t="s">
        <v>459</v>
      </c>
      <c r="D20" s="2" t="s">
        <v>459</v>
      </c>
      <c r="E20" s="1">
        <v>1</v>
      </c>
      <c r="F20" s="1">
        <v>1</v>
      </c>
      <c r="G20" s="1" t="s">
        <v>811</v>
      </c>
      <c r="P20" s="22"/>
      <c r="Q20" s="23"/>
    </row>
    <row r="21" spans="1:17" ht="25.5" x14ac:dyDescent="0.2">
      <c r="A21" s="1" t="s">
        <v>460</v>
      </c>
      <c r="B21" s="1" t="s">
        <v>461</v>
      </c>
      <c r="C21" s="1" t="s">
        <v>461</v>
      </c>
      <c r="D21" s="2" t="s">
        <v>461</v>
      </c>
      <c r="E21" s="1">
        <v>1</v>
      </c>
      <c r="F21" s="1">
        <v>1</v>
      </c>
      <c r="G21" s="1" t="s">
        <v>811</v>
      </c>
    </row>
    <row r="22" spans="1:17" ht="38.25" x14ac:dyDescent="0.2">
      <c r="A22" s="1" t="s">
        <v>462</v>
      </c>
      <c r="B22" s="1" t="s">
        <v>463</v>
      </c>
      <c r="C22" s="1" t="s">
        <v>463</v>
      </c>
      <c r="D22" s="2" t="s">
        <v>463</v>
      </c>
      <c r="E22" s="1">
        <v>1</v>
      </c>
      <c r="F22" s="1">
        <v>1</v>
      </c>
      <c r="G22" s="1" t="s">
        <v>811</v>
      </c>
    </row>
    <row r="23" spans="1:17" ht="38.25" x14ac:dyDescent="0.2">
      <c r="A23" s="1" t="s">
        <v>464</v>
      </c>
      <c r="B23" s="1" t="s">
        <v>465</v>
      </c>
      <c r="C23" s="1" t="s">
        <v>465</v>
      </c>
      <c r="D23" s="2" t="s">
        <v>465</v>
      </c>
      <c r="E23" s="1">
        <v>1</v>
      </c>
      <c r="F23" s="1">
        <v>1</v>
      </c>
      <c r="G23" s="1" t="s">
        <v>811</v>
      </c>
    </row>
    <row r="24" spans="1:17" ht="51" x14ac:dyDescent="0.2">
      <c r="A24" s="1" t="s">
        <v>466</v>
      </c>
      <c r="B24" s="1" t="s">
        <v>467</v>
      </c>
      <c r="C24" s="1" t="s">
        <v>467</v>
      </c>
      <c r="D24" s="2" t="s">
        <v>467</v>
      </c>
      <c r="E24" s="1">
        <v>1</v>
      </c>
      <c r="F24" s="1">
        <v>1</v>
      </c>
      <c r="G24" s="1" t="s">
        <v>811</v>
      </c>
    </row>
    <row r="25" spans="1:17" ht="25.5" x14ac:dyDescent="0.2">
      <c r="A25" s="1" t="s">
        <v>468</v>
      </c>
      <c r="B25" s="1" t="s">
        <v>469</v>
      </c>
      <c r="C25" s="1" t="s">
        <v>469</v>
      </c>
      <c r="D25" s="2" t="s">
        <v>469</v>
      </c>
      <c r="E25" s="1">
        <v>1</v>
      </c>
      <c r="F25" s="1">
        <v>1</v>
      </c>
      <c r="G25" s="1" t="s">
        <v>811</v>
      </c>
    </row>
    <row r="26" spans="1:17" ht="51" x14ac:dyDescent="0.2">
      <c r="A26" s="1" t="s">
        <v>470</v>
      </c>
      <c r="B26" s="1" t="s">
        <v>471</v>
      </c>
      <c r="C26" s="1" t="s">
        <v>472</v>
      </c>
      <c r="D26" s="2" t="s">
        <v>471</v>
      </c>
      <c r="E26" s="1">
        <v>0.5</v>
      </c>
      <c r="F26" s="1">
        <v>0.6</v>
      </c>
      <c r="G26" s="1" t="s">
        <v>815</v>
      </c>
    </row>
    <row r="27" spans="1:17" ht="51" x14ac:dyDescent="0.2">
      <c r="A27" s="1" t="s">
        <v>473</v>
      </c>
      <c r="B27" s="1" t="s">
        <v>474</v>
      </c>
      <c r="C27" s="1" t="s">
        <v>474</v>
      </c>
      <c r="D27" s="2" t="s">
        <v>474</v>
      </c>
      <c r="E27" s="1">
        <v>1</v>
      </c>
      <c r="F27" s="1">
        <v>1</v>
      </c>
      <c r="G27" s="1" t="s">
        <v>811</v>
      </c>
    </row>
    <row r="28" spans="1:17" ht="38.25" x14ac:dyDescent="0.2">
      <c r="A28" s="1" t="s">
        <v>475</v>
      </c>
      <c r="B28" s="1" t="s">
        <v>476</v>
      </c>
      <c r="C28" s="1" t="s">
        <v>477</v>
      </c>
      <c r="D28" s="2" t="s">
        <v>476</v>
      </c>
      <c r="E28" s="1" t="s">
        <v>6</v>
      </c>
      <c r="F28" s="1">
        <v>0.7</v>
      </c>
      <c r="G28" s="1" t="s">
        <v>810</v>
      </c>
    </row>
    <row r="29" spans="1:17" ht="38.25" x14ac:dyDescent="0.2">
      <c r="A29" s="1" t="s">
        <v>478</v>
      </c>
      <c r="B29" s="1" t="s">
        <v>479</v>
      </c>
      <c r="C29" s="1" t="s">
        <v>479</v>
      </c>
      <c r="D29" s="2" t="s">
        <v>479</v>
      </c>
      <c r="E29" s="1">
        <v>1</v>
      </c>
      <c r="F29" s="1">
        <v>1</v>
      </c>
      <c r="G29" s="1" t="s">
        <v>811</v>
      </c>
    </row>
    <row r="30" spans="1:17" ht="25.5" x14ac:dyDescent="0.2">
      <c r="A30" s="1" t="s">
        <v>480</v>
      </c>
      <c r="B30" s="1" t="s">
        <v>481</v>
      </c>
      <c r="C30" s="1" t="s">
        <v>481</v>
      </c>
      <c r="D30" s="2" t="s">
        <v>481</v>
      </c>
      <c r="E30" s="1">
        <v>1</v>
      </c>
      <c r="F30" s="1">
        <v>1</v>
      </c>
      <c r="G30" s="1" t="s">
        <v>811</v>
      </c>
    </row>
    <row r="31" spans="1:17" ht="51" x14ac:dyDescent="0.2">
      <c r="A31" s="1" t="s">
        <v>482</v>
      </c>
      <c r="B31" s="1" t="s">
        <v>483</v>
      </c>
      <c r="C31" s="1" t="s">
        <v>483</v>
      </c>
      <c r="D31" s="2" t="s">
        <v>483</v>
      </c>
      <c r="E31" s="1">
        <v>1</v>
      </c>
      <c r="F31" s="1">
        <v>1</v>
      </c>
      <c r="G31" s="1" t="s">
        <v>811</v>
      </c>
    </row>
    <row r="32" spans="1:17" ht="25.5" x14ac:dyDescent="0.2">
      <c r="A32" s="1" t="s">
        <v>484</v>
      </c>
      <c r="B32" s="1" t="s">
        <v>485</v>
      </c>
      <c r="C32" s="1" t="s">
        <v>485</v>
      </c>
      <c r="D32" s="2" t="s">
        <v>485</v>
      </c>
      <c r="E32" s="1">
        <v>1</v>
      </c>
      <c r="F32" s="1">
        <v>1</v>
      </c>
      <c r="G32" s="1" t="s">
        <v>811</v>
      </c>
    </row>
    <row r="33" spans="1:7" ht="38.25" x14ac:dyDescent="0.2">
      <c r="A33" s="1" t="s">
        <v>486</v>
      </c>
      <c r="B33" s="1" t="s">
        <v>487</v>
      </c>
      <c r="C33" s="1" t="s">
        <v>487</v>
      </c>
      <c r="D33" s="2" t="s">
        <v>487</v>
      </c>
      <c r="E33" s="1">
        <v>1</v>
      </c>
      <c r="F33" s="1">
        <v>1</v>
      </c>
      <c r="G33" s="1" t="s">
        <v>811</v>
      </c>
    </row>
    <row r="34" spans="1:7" ht="38.25" x14ac:dyDescent="0.2">
      <c r="A34" s="1" t="s">
        <v>488</v>
      </c>
      <c r="B34" s="1" t="s">
        <v>489</v>
      </c>
      <c r="C34" s="1" t="s">
        <v>489</v>
      </c>
      <c r="D34" s="2" t="s">
        <v>489</v>
      </c>
      <c r="E34" s="1">
        <v>1</v>
      </c>
      <c r="F34" s="1">
        <v>1</v>
      </c>
      <c r="G34" s="1" t="s">
        <v>811</v>
      </c>
    </row>
    <row r="35" spans="1:7" ht="38.25" x14ac:dyDescent="0.2">
      <c r="A35" s="1" t="s">
        <v>490</v>
      </c>
      <c r="B35" s="1" t="s">
        <v>491</v>
      </c>
      <c r="C35" s="1" t="s">
        <v>491</v>
      </c>
      <c r="D35" s="2" t="s">
        <v>492</v>
      </c>
      <c r="E35" s="1" t="s">
        <v>493</v>
      </c>
      <c r="F35" s="1">
        <v>1</v>
      </c>
      <c r="G35" s="1" t="s">
        <v>811</v>
      </c>
    </row>
    <row r="36" spans="1:7" ht="51" x14ac:dyDescent="0.2">
      <c r="A36" s="1" t="s">
        <v>494</v>
      </c>
      <c r="B36" s="1" t="s">
        <v>495</v>
      </c>
      <c r="C36" s="1" t="s">
        <v>496</v>
      </c>
      <c r="D36" s="2" t="s">
        <v>495</v>
      </c>
      <c r="E36" s="1">
        <v>1</v>
      </c>
      <c r="F36" s="1">
        <v>1</v>
      </c>
      <c r="G36" s="1" t="s">
        <v>803</v>
      </c>
    </row>
    <row r="37" spans="1:7" ht="38.25" x14ac:dyDescent="0.2">
      <c r="A37" s="1" t="s">
        <v>497</v>
      </c>
      <c r="B37" s="1" t="s">
        <v>498</v>
      </c>
      <c r="C37" s="1" t="s">
        <v>498</v>
      </c>
      <c r="D37" s="2" t="s">
        <v>498</v>
      </c>
      <c r="E37" s="1">
        <v>1</v>
      </c>
      <c r="F37" s="1">
        <v>1</v>
      </c>
      <c r="G37" s="1" t="s">
        <v>811</v>
      </c>
    </row>
    <row r="38" spans="1:7" ht="25.5" x14ac:dyDescent="0.2">
      <c r="A38" s="1" t="s">
        <v>499</v>
      </c>
      <c r="B38" s="1" t="s">
        <v>500</v>
      </c>
      <c r="C38" s="1" t="s">
        <v>500</v>
      </c>
      <c r="D38" s="2" t="s">
        <v>500</v>
      </c>
      <c r="E38" s="1">
        <v>1</v>
      </c>
      <c r="F38" s="1">
        <v>1</v>
      </c>
      <c r="G38" s="1" t="s">
        <v>811</v>
      </c>
    </row>
    <row r="39" spans="1:7" ht="76.5" x14ac:dyDescent="0.2">
      <c r="A39" s="1" t="s">
        <v>501</v>
      </c>
      <c r="B39" s="1" t="s">
        <v>502</v>
      </c>
      <c r="C39" s="1" t="s">
        <v>502</v>
      </c>
      <c r="D39" s="2" t="s">
        <v>503</v>
      </c>
      <c r="E39" s="1">
        <v>1</v>
      </c>
      <c r="F39" s="1">
        <v>1</v>
      </c>
      <c r="G39" s="1" t="s">
        <v>811</v>
      </c>
    </row>
    <row r="40" spans="1:7" ht="38.25" x14ac:dyDescent="0.2">
      <c r="A40" s="1" t="s">
        <v>504</v>
      </c>
      <c r="B40" s="1" t="s">
        <v>505</v>
      </c>
      <c r="C40" s="1" t="s">
        <v>505</v>
      </c>
      <c r="D40" s="2" t="s">
        <v>505</v>
      </c>
      <c r="E40" s="1">
        <v>1</v>
      </c>
      <c r="F40" s="1">
        <v>1</v>
      </c>
      <c r="G40" s="1" t="s">
        <v>811</v>
      </c>
    </row>
    <row r="41" spans="1:7" ht="25.5" x14ac:dyDescent="0.2">
      <c r="A41" s="1" t="s">
        <v>506</v>
      </c>
      <c r="B41" s="1" t="s">
        <v>507</v>
      </c>
      <c r="C41" s="1" t="s">
        <v>507</v>
      </c>
      <c r="D41" s="2" t="s">
        <v>507</v>
      </c>
      <c r="E41" s="1">
        <v>1</v>
      </c>
      <c r="F41" s="1">
        <v>1</v>
      </c>
      <c r="G41" s="1" t="s">
        <v>811</v>
      </c>
    </row>
    <row r="42" spans="1:7" ht="63.75" x14ac:dyDescent="0.2">
      <c r="A42" s="1" t="s">
        <v>508</v>
      </c>
      <c r="B42" s="1" t="s">
        <v>509</v>
      </c>
      <c r="C42" s="1" t="s">
        <v>509</v>
      </c>
      <c r="D42" s="2" t="s">
        <v>509</v>
      </c>
      <c r="E42" s="1">
        <v>1</v>
      </c>
      <c r="F42" s="1">
        <v>1</v>
      </c>
      <c r="G42" s="1" t="s">
        <v>811</v>
      </c>
    </row>
    <row r="43" spans="1:7" ht="38.25" x14ac:dyDescent="0.2">
      <c r="A43" s="1" t="s">
        <v>510</v>
      </c>
      <c r="B43" s="1" t="s">
        <v>511</v>
      </c>
      <c r="C43" s="1" t="s">
        <v>511</v>
      </c>
      <c r="D43" s="2" t="s">
        <v>511</v>
      </c>
      <c r="E43" s="1">
        <v>1</v>
      </c>
      <c r="F43" s="1">
        <v>1</v>
      </c>
      <c r="G43" s="1" t="s">
        <v>811</v>
      </c>
    </row>
    <row r="44" spans="1:7" ht="38.25" x14ac:dyDescent="0.2">
      <c r="A44" s="1" t="s">
        <v>512</v>
      </c>
      <c r="B44" s="1" t="s">
        <v>513</v>
      </c>
      <c r="C44" s="1" t="s">
        <v>513</v>
      </c>
      <c r="D44" s="2" t="s">
        <v>513</v>
      </c>
      <c r="E44" s="1">
        <v>1</v>
      </c>
      <c r="F44" s="1">
        <v>1</v>
      </c>
      <c r="G44" s="1" t="s">
        <v>811</v>
      </c>
    </row>
    <row r="45" spans="1:7" ht="51" x14ac:dyDescent="0.2">
      <c r="A45" s="1" t="s">
        <v>514</v>
      </c>
      <c r="B45" s="1" t="s">
        <v>515</v>
      </c>
      <c r="C45" s="1" t="s">
        <v>515</v>
      </c>
      <c r="D45" s="2" t="s">
        <v>515</v>
      </c>
      <c r="E45" s="1">
        <v>1</v>
      </c>
      <c r="F45" s="1">
        <v>1</v>
      </c>
      <c r="G45" s="1" t="s">
        <v>811</v>
      </c>
    </row>
    <row r="46" spans="1:7" ht="38.25" x14ac:dyDescent="0.2">
      <c r="A46" s="1" t="s">
        <v>516</v>
      </c>
      <c r="B46" s="1" t="s">
        <v>517</v>
      </c>
      <c r="C46" s="1" t="s">
        <v>517</v>
      </c>
      <c r="D46" s="2" t="s">
        <v>517</v>
      </c>
      <c r="E46" s="1">
        <v>1</v>
      </c>
      <c r="F46" s="1">
        <v>1</v>
      </c>
      <c r="G46" s="1" t="s">
        <v>811</v>
      </c>
    </row>
    <row r="47" spans="1:7" ht="38.25" x14ac:dyDescent="0.2">
      <c r="A47" s="1" t="s">
        <v>518</v>
      </c>
      <c r="B47" s="1" t="s">
        <v>519</v>
      </c>
      <c r="C47" s="1" t="s">
        <v>519</v>
      </c>
      <c r="D47" s="2" t="s">
        <v>519</v>
      </c>
      <c r="E47" s="1">
        <v>1</v>
      </c>
      <c r="F47" s="1">
        <v>1</v>
      </c>
      <c r="G47" s="1" t="s">
        <v>811</v>
      </c>
    </row>
    <row r="48" spans="1:7" ht="38.25" x14ac:dyDescent="0.2">
      <c r="A48" s="1" t="s">
        <v>520</v>
      </c>
      <c r="B48" s="1" t="s">
        <v>521</v>
      </c>
      <c r="C48" s="1" t="s">
        <v>521</v>
      </c>
      <c r="D48" s="2" t="s">
        <v>521</v>
      </c>
      <c r="E48" s="1">
        <v>1</v>
      </c>
      <c r="F48" s="1">
        <v>1</v>
      </c>
      <c r="G48" s="1" t="s">
        <v>811</v>
      </c>
    </row>
    <row r="49" spans="1:7" ht="63.75" x14ac:dyDescent="0.2">
      <c r="A49" s="1" t="s">
        <v>522</v>
      </c>
      <c r="B49" s="1" t="s">
        <v>523</v>
      </c>
      <c r="C49" s="1" t="s">
        <v>523</v>
      </c>
      <c r="D49" s="2" t="s">
        <v>523</v>
      </c>
      <c r="E49" s="1">
        <v>1</v>
      </c>
      <c r="F49" s="1">
        <v>1</v>
      </c>
      <c r="G49" s="1" t="s">
        <v>811</v>
      </c>
    </row>
    <row r="50" spans="1:7" ht="63.75" x14ac:dyDescent="0.2">
      <c r="A50" s="1" t="s">
        <v>524</v>
      </c>
      <c r="B50" s="1" t="s">
        <v>525</v>
      </c>
      <c r="C50" s="1" t="s">
        <v>526</v>
      </c>
      <c r="D50" s="2" t="s">
        <v>525</v>
      </c>
      <c r="E50" s="1">
        <v>1</v>
      </c>
      <c r="F50" s="1">
        <v>1</v>
      </c>
      <c r="G50" s="1" t="s">
        <v>817</v>
      </c>
    </row>
    <row r="51" spans="1:7" ht="51" x14ac:dyDescent="0.2">
      <c r="A51" s="1" t="s">
        <v>527</v>
      </c>
      <c r="B51" s="1" t="s">
        <v>528</v>
      </c>
      <c r="C51" s="1" t="s">
        <v>528</v>
      </c>
      <c r="D51" s="2" t="s">
        <v>528</v>
      </c>
      <c r="E51" s="1">
        <v>1</v>
      </c>
      <c r="F51" s="1">
        <v>1</v>
      </c>
      <c r="G51" s="1" t="s">
        <v>811</v>
      </c>
    </row>
    <row r="52" spans="1:7" ht="15" customHeight="1" x14ac:dyDescent="0.25">
      <c r="D52" s="94" t="s">
        <v>837</v>
      </c>
      <c r="E52" s="30">
        <f>SUM(E2:E51)/50</f>
        <v>0.87</v>
      </c>
      <c r="F52" s="30">
        <f>SUM(F2:F51)/50</f>
        <v>0.90599999999999992</v>
      </c>
    </row>
    <row r="53" spans="1:7" ht="15" customHeight="1" x14ac:dyDescent="0.25">
      <c r="D53" s="94"/>
      <c r="E53" s="30" t="s">
        <v>824</v>
      </c>
      <c r="F53" s="30" t="s">
        <v>823</v>
      </c>
    </row>
    <row r="54" spans="1:7" ht="15" customHeight="1" x14ac:dyDescent="0.2">
      <c r="D54" s="94" t="s">
        <v>832</v>
      </c>
      <c r="E54" s="93" t="s">
        <v>858</v>
      </c>
      <c r="F54" s="93" t="s">
        <v>857</v>
      </c>
    </row>
    <row r="55" spans="1:7" ht="15" customHeight="1" x14ac:dyDescent="0.2">
      <c r="D55" s="94" t="s">
        <v>828</v>
      </c>
      <c r="E55" s="93" t="s">
        <v>859</v>
      </c>
      <c r="F55" s="93" t="s">
        <v>860</v>
      </c>
    </row>
    <row r="56" spans="1:7" ht="15" customHeight="1" x14ac:dyDescent="0.2">
      <c r="D56" s="94" t="s">
        <v>831</v>
      </c>
      <c r="E56" s="93" t="s">
        <v>861</v>
      </c>
      <c r="F56" s="93" t="s">
        <v>862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58"/>
  <sheetViews>
    <sheetView topLeftCell="A36" workbookViewId="0">
      <selection activeCell="E2" sqref="E2"/>
    </sheetView>
  </sheetViews>
  <sheetFormatPr defaultColWidth="12.5703125" defaultRowHeight="15" customHeight="1" x14ac:dyDescent="0.2"/>
  <cols>
    <col min="4" max="4" width="21.5703125" customWidth="1"/>
    <col min="5" max="5" width="25.7109375" customWidth="1"/>
    <col min="11" max="11" width="28.5703125" customWidth="1"/>
    <col min="12" max="12" width="28.85546875" customWidth="1"/>
  </cols>
  <sheetData>
    <row r="1" spans="1:12" ht="15" customHeight="1" x14ac:dyDescent="0.2">
      <c r="A1" s="97" t="s">
        <v>0</v>
      </c>
      <c r="B1" s="97" t="s">
        <v>899</v>
      </c>
      <c r="C1" s="97" t="s">
        <v>864</v>
      </c>
      <c r="D1" s="97" t="s">
        <v>900</v>
      </c>
      <c r="E1" s="96" t="s">
        <v>823</v>
      </c>
      <c r="F1" s="96" t="s">
        <v>824</v>
      </c>
      <c r="G1" s="96" t="s">
        <v>819</v>
      </c>
    </row>
    <row r="2" spans="1:12" ht="38.25" x14ac:dyDescent="0.2">
      <c r="A2" s="1" t="s">
        <v>3</v>
      </c>
      <c r="B2" s="1" t="s">
        <v>4</v>
      </c>
      <c r="C2" s="1" t="s">
        <v>5</v>
      </c>
      <c r="D2" s="2" t="s">
        <v>4</v>
      </c>
      <c r="E2" s="1" t="s">
        <v>6</v>
      </c>
      <c r="F2" s="1">
        <v>0.9</v>
      </c>
      <c r="G2" s="1" t="s">
        <v>802</v>
      </c>
    </row>
    <row r="3" spans="1:12" ht="38.25" x14ac:dyDescent="0.2">
      <c r="A3" s="1" t="s">
        <v>7</v>
      </c>
      <c r="B3" s="1" t="s">
        <v>8</v>
      </c>
      <c r="C3" s="1" t="s">
        <v>9</v>
      </c>
      <c r="D3" s="2" t="s">
        <v>8</v>
      </c>
      <c r="E3" s="1" t="s">
        <v>6</v>
      </c>
      <c r="F3" s="1">
        <v>0.9</v>
      </c>
      <c r="G3" s="1" t="s">
        <v>803</v>
      </c>
    </row>
    <row r="4" spans="1:12" ht="25.5" x14ac:dyDescent="0.2">
      <c r="A4" s="1" t="s">
        <v>10</v>
      </c>
      <c r="B4" s="1" t="s">
        <v>11</v>
      </c>
      <c r="C4" s="1" t="s">
        <v>11</v>
      </c>
      <c r="D4" s="2" t="s">
        <v>11</v>
      </c>
      <c r="E4" s="1">
        <v>1</v>
      </c>
      <c r="F4" s="3">
        <v>1</v>
      </c>
      <c r="G4" s="1" t="s">
        <v>804</v>
      </c>
    </row>
    <row r="5" spans="1:12" ht="25.5" x14ac:dyDescent="0.2">
      <c r="A5" s="1" t="s">
        <v>12</v>
      </c>
      <c r="B5" s="1" t="s">
        <v>13</v>
      </c>
      <c r="C5" s="1" t="s">
        <v>13</v>
      </c>
      <c r="D5" s="2" t="s">
        <v>14</v>
      </c>
      <c r="E5" s="1" t="s">
        <v>15</v>
      </c>
      <c r="F5" s="3">
        <v>1</v>
      </c>
      <c r="G5" s="1" t="s">
        <v>804</v>
      </c>
    </row>
    <row r="6" spans="1:12" ht="38.25" x14ac:dyDescent="0.2">
      <c r="A6" s="1" t="s">
        <v>16</v>
      </c>
      <c r="B6" s="1" t="s">
        <v>17</v>
      </c>
      <c r="C6" s="1" t="s">
        <v>17</v>
      </c>
      <c r="D6" s="2" t="s">
        <v>17</v>
      </c>
      <c r="E6" s="1">
        <v>1</v>
      </c>
      <c r="F6" s="3">
        <v>1</v>
      </c>
      <c r="G6" s="1" t="s">
        <v>804</v>
      </c>
    </row>
    <row r="7" spans="1:12" ht="39.75" x14ac:dyDescent="0.3">
      <c r="A7" s="1" t="s">
        <v>18</v>
      </c>
      <c r="B7" s="1" t="s">
        <v>19</v>
      </c>
      <c r="C7" s="1" t="s">
        <v>19</v>
      </c>
      <c r="D7" s="2" t="s">
        <v>19</v>
      </c>
      <c r="E7" s="1">
        <v>1</v>
      </c>
      <c r="F7" s="3">
        <v>1</v>
      </c>
      <c r="G7" s="1" t="s">
        <v>804</v>
      </c>
      <c r="K7" s="41" t="s">
        <v>800</v>
      </c>
      <c r="L7" s="41" t="s">
        <v>801</v>
      </c>
    </row>
    <row r="8" spans="1:12" ht="25.5" x14ac:dyDescent="0.2">
      <c r="A8" s="1" t="s">
        <v>20</v>
      </c>
      <c r="B8" s="1" t="s">
        <v>21</v>
      </c>
      <c r="C8" s="1" t="s">
        <v>22</v>
      </c>
      <c r="D8" s="2" t="s">
        <v>21</v>
      </c>
      <c r="E8" s="1" t="s">
        <v>23</v>
      </c>
      <c r="F8" s="1" t="s">
        <v>23</v>
      </c>
      <c r="G8" s="1" t="s">
        <v>803</v>
      </c>
      <c r="K8" s="42" t="s">
        <v>804</v>
      </c>
      <c r="L8" s="43">
        <v>35</v>
      </c>
    </row>
    <row r="9" spans="1:12" ht="25.5" x14ac:dyDescent="0.2">
      <c r="A9" s="1" t="s">
        <v>24</v>
      </c>
      <c r="B9" s="1" t="s">
        <v>25</v>
      </c>
      <c r="C9" s="1" t="s">
        <v>25</v>
      </c>
      <c r="D9" s="2" t="s">
        <v>25</v>
      </c>
      <c r="E9" s="1">
        <v>1</v>
      </c>
      <c r="F9" s="3">
        <v>1</v>
      </c>
      <c r="G9" s="1" t="s">
        <v>804</v>
      </c>
      <c r="K9" s="44" t="s">
        <v>803</v>
      </c>
      <c r="L9" s="45">
        <v>11</v>
      </c>
    </row>
    <row r="10" spans="1:12" ht="25.5" x14ac:dyDescent="0.2">
      <c r="A10" s="1" t="s">
        <v>26</v>
      </c>
      <c r="B10" s="1" t="s">
        <v>27</v>
      </c>
      <c r="C10" s="1" t="s">
        <v>27</v>
      </c>
      <c r="D10" s="2" t="s">
        <v>27</v>
      </c>
      <c r="E10" s="1">
        <v>1</v>
      </c>
      <c r="F10" s="3">
        <v>1</v>
      </c>
      <c r="G10" s="1" t="s">
        <v>804</v>
      </c>
      <c r="K10" s="46" t="s">
        <v>806</v>
      </c>
      <c r="L10" s="46">
        <v>2</v>
      </c>
    </row>
    <row r="11" spans="1:12" ht="25.5" x14ac:dyDescent="0.2">
      <c r="A11" s="1" t="s">
        <v>28</v>
      </c>
      <c r="B11" s="1" t="s">
        <v>29</v>
      </c>
      <c r="C11" s="1" t="s">
        <v>29</v>
      </c>
      <c r="D11" s="2" t="s">
        <v>29</v>
      </c>
      <c r="E11" s="1">
        <v>1</v>
      </c>
      <c r="F11" s="3">
        <v>1</v>
      </c>
      <c r="G11" s="1" t="s">
        <v>804</v>
      </c>
      <c r="K11" s="47" t="s">
        <v>802</v>
      </c>
      <c r="L11" s="47">
        <v>3</v>
      </c>
    </row>
    <row r="12" spans="1:12" ht="38.25" x14ac:dyDescent="0.2">
      <c r="A12" s="1" t="s">
        <v>30</v>
      </c>
      <c r="B12" s="1" t="s">
        <v>31</v>
      </c>
      <c r="C12" s="1" t="s">
        <v>32</v>
      </c>
      <c r="D12" s="2" t="s">
        <v>33</v>
      </c>
      <c r="E12" s="1">
        <v>1</v>
      </c>
      <c r="F12" s="1" t="s">
        <v>6</v>
      </c>
      <c r="G12" s="1" t="s">
        <v>813</v>
      </c>
      <c r="K12" s="48" t="s">
        <v>807</v>
      </c>
      <c r="L12" s="48">
        <v>1</v>
      </c>
    </row>
    <row r="13" spans="1:12" ht="26.25" x14ac:dyDescent="0.25">
      <c r="A13" s="1" t="s">
        <v>34</v>
      </c>
      <c r="B13" s="1" t="s">
        <v>35</v>
      </c>
      <c r="C13" s="1" t="s">
        <v>35</v>
      </c>
      <c r="D13" s="2" t="s">
        <v>35</v>
      </c>
      <c r="E13" s="1">
        <v>1</v>
      </c>
      <c r="F13" s="3">
        <v>1</v>
      </c>
      <c r="G13" s="1" t="s">
        <v>804</v>
      </c>
      <c r="K13" s="49" t="s">
        <v>814</v>
      </c>
      <c r="L13" s="49">
        <v>50</v>
      </c>
    </row>
    <row r="14" spans="1:12" ht="25.5" x14ac:dyDescent="0.2">
      <c r="A14" s="1" t="s">
        <v>36</v>
      </c>
      <c r="B14" s="1" t="s">
        <v>37</v>
      </c>
      <c r="C14" s="1" t="s">
        <v>37</v>
      </c>
      <c r="D14" s="2" t="s">
        <v>37</v>
      </c>
      <c r="E14" s="1">
        <v>1</v>
      </c>
      <c r="F14" s="3">
        <v>1</v>
      </c>
      <c r="G14" s="1" t="s">
        <v>804</v>
      </c>
    </row>
    <row r="15" spans="1:12" ht="25.5" x14ac:dyDescent="0.2">
      <c r="A15" s="1" t="s">
        <v>38</v>
      </c>
      <c r="B15" s="1" t="s">
        <v>39</v>
      </c>
      <c r="C15" s="1" t="s">
        <v>39</v>
      </c>
      <c r="D15" s="2" t="s">
        <v>39</v>
      </c>
      <c r="E15" s="1">
        <v>1</v>
      </c>
      <c r="F15" s="3">
        <v>1</v>
      </c>
      <c r="G15" s="1" t="s">
        <v>804</v>
      </c>
    </row>
    <row r="16" spans="1:12" ht="25.5" x14ac:dyDescent="0.2">
      <c r="A16" s="1" t="s">
        <v>40</v>
      </c>
      <c r="B16" s="1" t="s">
        <v>41</v>
      </c>
      <c r="C16" s="1" t="s">
        <v>41</v>
      </c>
      <c r="D16" s="2" t="s">
        <v>41</v>
      </c>
      <c r="E16" s="1">
        <v>1</v>
      </c>
      <c r="F16" s="3">
        <v>1</v>
      </c>
      <c r="G16" s="1" t="s">
        <v>804</v>
      </c>
    </row>
    <row r="17" spans="1:7" ht="38.25" x14ac:dyDescent="0.2">
      <c r="A17" s="1" t="s">
        <v>42</v>
      </c>
      <c r="B17" s="1" t="s">
        <v>43</v>
      </c>
      <c r="C17" s="1" t="s">
        <v>43</v>
      </c>
      <c r="D17" s="2" t="s">
        <v>43</v>
      </c>
      <c r="E17" s="1">
        <v>1</v>
      </c>
      <c r="F17" s="3">
        <v>1</v>
      </c>
      <c r="G17" s="1" t="s">
        <v>804</v>
      </c>
    </row>
    <row r="18" spans="1:7" ht="38.25" x14ac:dyDescent="0.2">
      <c r="A18" s="1" t="s">
        <v>44</v>
      </c>
      <c r="B18" s="1" t="s">
        <v>45</v>
      </c>
      <c r="C18" s="1" t="s">
        <v>45</v>
      </c>
      <c r="D18" s="2" t="s">
        <v>45</v>
      </c>
      <c r="E18" s="1">
        <v>1</v>
      </c>
      <c r="F18" s="1">
        <v>1</v>
      </c>
      <c r="G18" s="1" t="s">
        <v>804</v>
      </c>
    </row>
    <row r="19" spans="1:7" ht="38.25" x14ac:dyDescent="0.2">
      <c r="A19" s="1" t="s">
        <v>46</v>
      </c>
      <c r="B19" s="1" t="s">
        <v>47</v>
      </c>
      <c r="C19" s="1" t="s">
        <v>47</v>
      </c>
      <c r="D19" s="2" t="s">
        <v>47</v>
      </c>
      <c r="E19" s="1">
        <v>1</v>
      </c>
      <c r="F19" s="1">
        <v>1</v>
      </c>
      <c r="G19" s="1" t="s">
        <v>804</v>
      </c>
    </row>
    <row r="20" spans="1:7" ht="25.5" x14ac:dyDescent="0.2">
      <c r="A20" s="1" t="s">
        <v>48</v>
      </c>
      <c r="B20" s="1" t="s">
        <v>49</v>
      </c>
      <c r="C20" s="1" t="s">
        <v>49</v>
      </c>
      <c r="D20" s="2" t="s">
        <v>49</v>
      </c>
      <c r="E20" s="1">
        <v>1</v>
      </c>
      <c r="F20" s="1">
        <v>1</v>
      </c>
      <c r="G20" s="1" t="s">
        <v>804</v>
      </c>
    </row>
    <row r="21" spans="1:7" ht="25.5" x14ac:dyDescent="0.2">
      <c r="A21" s="1" t="s">
        <v>50</v>
      </c>
      <c r="B21" s="1" t="s">
        <v>51</v>
      </c>
      <c r="C21" s="1" t="s">
        <v>51</v>
      </c>
      <c r="D21" s="2" t="s">
        <v>51</v>
      </c>
      <c r="E21" s="1">
        <v>1</v>
      </c>
      <c r="F21" s="1">
        <v>1</v>
      </c>
      <c r="G21" s="1" t="s">
        <v>804</v>
      </c>
    </row>
    <row r="22" spans="1:7" ht="25.5" x14ac:dyDescent="0.2">
      <c r="A22" s="1" t="s">
        <v>52</v>
      </c>
      <c r="B22" s="1" t="s">
        <v>53</v>
      </c>
      <c r="C22" s="1" t="s">
        <v>53</v>
      </c>
      <c r="D22" s="2" t="s">
        <v>53</v>
      </c>
      <c r="E22" s="1">
        <v>1</v>
      </c>
      <c r="F22" s="1">
        <v>1</v>
      </c>
      <c r="G22" s="1" t="s">
        <v>804</v>
      </c>
    </row>
    <row r="23" spans="1:7" ht="38.25" x14ac:dyDescent="0.2">
      <c r="A23" s="1" t="s">
        <v>54</v>
      </c>
      <c r="B23" s="1" t="s">
        <v>55</v>
      </c>
      <c r="C23" s="1" t="s">
        <v>55</v>
      </c>
      <c r="D23" s="2" t="s">
        <v>55</v>
      </c>
      <c r="E23" s="1">
        <v>1</v>
      </c>
      <c r="F23" s="1">
        <v>1</v>
      </c>
      <c r="G23" s="1" t="s">
        <v>804</v>
      </c>
    </row>
    <row r="24" spans="1:7" ht="38.25" x14ac:dyDescent="0.2">
      <c r="A24" s="1" t="s">
        <v>56</v>
      </c>
      <c r="B24" s="1" t="s">
        <v>57</v>
      </c>
      <c r="C24" s="1" t="s">
        <v>57</v>
      </c>
      <c r="D24" s="2" t="s">
        <v>57</v>
      </c>
      <c r="E24" s="1">
        <v>1</v>
      </c>
      <c r="F24" s="1">
        <v>1</v>
      </c>
      <c r="G24" s="1" t="s">
        <v>804</v>
      </c>
    </row>
    <row r="25" spans="1:7" ht="25.5" x14ac:dyDescent="0.2">
      <c r="A25" s="1" t="s">
        <v>58</v>
      </c>
      <c r="B25" s="1" t="s">
        <v>59</v>
      </c>
      <c r="C25" s="1" t="s">
        <v>60</v>
      </c>
      <c r="D25" s="2" t="s">
        <v>59</v>
      </c>
      <c r="E25" s="1" t="s">
        <v>23</v>
      </c>
      <c r="F25" s="1" t="s">
        <v>23</v>
      </c>
      <c r="G25" s="1" t="s">
        <v>807</v>
      </c>
    </row>
    <row r="26" spans="1:7" ht="25.5" x14ac:dyDescent="0.2">
      <c r="A26" s="1" t="s">
        <v>61</v>
      </c>
      <c r="B26" s="1" t="s">
        <v>62</v>
      </c>
      <c r="C26" s="1" t="s">
        <v>63</v>
      </c>
      <c r="D26" s="2" t="s">
        <v>62</v>
      </c>
      <c r="E26" s="1" t="s">
        <v>15</v>
      </c>
      <c r="F26" s="1">
        <v>0.9</v>
      </c>
      <c r="G26" s="1" t="s">
        <v>803</v>
      </c>
    </row>
    <row r="27" spans="1:7" ht="25.5" x14ac:dyDescent="0.2">
      <c r="A27" s="1" t="s">
        <v>64</v>
      </c>
      <c r="B27" s="1" t="s">
        <v>65</v>
      </c>
      <c r="C27" s="1" t="s">
        <v>66</v>
      </c>
      <c r="D27" s="2" t="s">
        <v>65</v>
      </c>
      <c r="E27" s="1" t="s">
        <v>23</v>
      </c>
      <c r="F27" s="1" t="s">
        <v>23</v>
      </c>
      <c r="G27" s="1" t="s">
        <v>803</v>
      </c>
    </row>
    <row r="28" spans="1:7" ht="25.5" x14ac:dyDescent="0.2">
      <c r="A28" s="1" t="s">
        <v>67</v>
      </c>
      <c r="B28" s="1" t="s">
        <v>68</v>
      </c>
      <c r="C28" s="1" t="s">
        <v>69</v>
      </c>
      <c r="D28" s="2" t="s">
        <v>68</v>
      </c>
      <c r="E28" s="1" t="s">
        <v>23</v>
      </c>
      <c r="F28" s="1" t="s">
        <v>23</v>
      </c>
      <c r="G28" s="1" t="s">
        <v>803</v>
      </c>
    </row>
    <row r="29" spans="1:7" ht="25.5" x14ac:dyDescent="0.2">
      <c r="A29" s="1" t="s">
        <v>70</v>
      </c>
      <c r="B29" s="1" t="s">
        <v>71</v>
      </c>
      <c r="C29" s="1" t="s">
        <v>72</v>
      </c>
      <c r="D29" s="2" t="s">
        <v>71</v>
      </c>
      <c r="E29" s="1" t="s">
        <v>15</v>
      </c>
      <c r="F29" s="1">
        <v>0.9</v>
      </c>
      <c r="G29" s="1" t="s">
        <v>803</v>
      </c>
    </row>
    <row r="30" spans="1:7" ht="25.5" x14ac:dyDescent="0.2">
      <c r="A30" s="1" t="s">
        <v>73</v>
      </c>
      <c r="B30" s="1" t="s">
        <v>74</v>
      </c>
      <c r="C30" s="1" t="s">
        <v>74</v>
      </c>
      <c r="D30" s="2" t="s">
        <v>74</v>
      </c>
      <c r="E30" s="1">
        <v>1</v>
      </c>
      <c r="F30" s="1">
        <v>1</v>
      </c>
      <c r="G30" s="1" t="s">
        <v>804</v>
      </c>
    </row>
    <row r="31" spans="1:7" ht="25.5" x14ac:dyDescent="0.2">
      <c r="A31" s="1" t="s">
        <v>75</v>
      </c>
      <c r="B31" s="1" t="s">
        <v>76</v>
      </c>
      <c r="C31" s="1" t="s">
        <v>76</v>
      </c>
      <c r="D31" s="2" t="s">
        <v>76</v>
      </c>
      <c r="E31" s="1">
        <v>1</v>
      </c>
      <c r="F31" s="1">
        <v>1</v>
      </c>
      <c r="G31" s="1" t="s">
        <v>804</v>
      </c>
    </row>
    <row r="32" spans="1:7" ht="25.5" x14ac:dyDescent="0.2">
      <c r="A32" s="1" t="s">
        <v>77</v>
      </c>
      <c r="B32" s="1" t="s">
        <v>78</v>
      </c>
      <c r="C32" s="1" t="s">
        <v>79</v>
      </c>
      <c r="D32" s="2" t="s">
        <v>78</v>
      </c>
      <c r="E32" s="1" t="s">
        <v>15</v>
      </c>
      <c r="F32" s="1">
        <v>0.9</v>
      </c>
      <c r="G32" s="1" t="s">
        <v>803</v>
      </c>
    </row>
    <row r="33" spans="1:7" ht="25.5" x14ac:dyDescent="0.2">
      <c r="A33" s="1" t="s">
        <v>80</v>
      </c>
      <c r="B33" s="1" t="s">
        <v>81</v>
      </c>
      <c r="C33" s="1" t="s">
        <v>81</v>
      </c>
      <c r="D33" s="2" t="s">
        <v>81</v>
      </c>
      <c r="E33" s="1">
        <v>1</v>
      </c>
      <c r="F33" s="1">
        <v>1</v>
      </c>
      <c r="G33" s="1" t="s">
        <v>804</v>
      </c>
    </row>
    <row r="34" spans="1:7" ht="25.5" x14ac:dyDescent="0.2">
      <c r="A34" s="1" t="s">
        <v>82</v>
      </c>
      <c r="B34" s="1" t="s">
        <v>83</v>
      </c>
      <c r="C34" s="1" t="s">
        <v>84</v>
      </c>
      <c r="D34" s="2" t="s">
        <v>83</v>
      </c>
      <c r="E34" s="1" t="s">
        <v>23</v>
      </c>
      <c r="F34" s="1" t="s">
        <v>23</v>
      </c>
      <c r="G34" s="1" t="s">
        <v>812</v>
      </c>
    </row>
    <row r="35" spans="1:7" ht="25.5" x14ac:dyDescent="0.2">
      <c r="A35" s="1" t="s">
        <v>85</v>
      </c>
      <c r="B35" s="1" t="s">
        <v>86</v>
      </c>
      <c r="C35" s="1" t="s">
        <v>86</v>
      </c>
      <c r="D35" s="2" t="s">
        <v>86</v>
      </c>
      <c r="E35" s="1">
        <v>1</v>
      </c>
      <c r="F35" s="1">
        <v>1</v>
      </c>
      <c r="G35" s="1" t="s">
        <v>804</v>
      </c>
    </row>
    <row r="36" spans="1:7" ht="25.5" x14ac:dyDescent="0.2">
      <c r="A36" s="1" t="s">
        <v>87</v>
      </c>
      <c r="B36" s="1" t="s">
        <v>88</v>
      </c>
      <c r="C36" s="1" t="s">
        <v>88</v>
      </c>
      <c r="D36" s="2" t="s">
        <v>88</v>
      </c>
      <c r="E36" s="1">
        <v>1</v>
      </c>
      <c r="F36" s="1">
        <v>1</v>
      </c>
      <c r="G36" s="1" t="s">
        <v>804</v>
      </c>
    </row>
    <row r="37" spans="1:7" ht="25.5" x14ac:dyDescent="0.2">
      <c r="A37" s="1" t="s">
        <v>89</v>
      </c>
      <c r="B37" s="1" t="s">
        <v>90</v>
      </c>
      <c r="C37" s="1" t="s">
        <v>91</v>
      </c>
      <c r="D37" s="2" t="s">
        <v>91</v>
      </c>
      <c r="E37" s="1">
        <v>1</v>
      </c>
      <c r="F37" s="1">
        <v>0.9</v>
      </c>
      <c r="G37" s="1" t="s">
        <v>803</v>
      </c>
    </row>
    <row r="38" spans="1:7" ht="25.5" x14ac:dyDescent="0.2">
      <c r="A38" s="1" t="s">
        <v>92</v>
      </c>
      <c r="B38" s="1" t="s">
        <v>93</v>
      </c>
      <c r="C38" s="1" t="s">
        <v>93</v>
      </c>
      <c r="D38" s="2" t="s">
        <v>94</v>
      </c>
      <c r="E38" s="1">
        <v>1</v>
      </c>
      <c r="F38" s="1">
        <v>1</v>
      </c>
      <c r="G38" s="1" t="s">
        <v>804</v>
      </c>
    </row>
    <row r="39" spans="1:7" ht="38.25" x14ac:dyDescent="0.2">
      <c r="A39" s="1" t="s">
        <v>95</v>
      </c>
      <c r="B39" s="1" t="s">
        <v>96</v>
      </c>
      <c r="C39" s="1" t="s">
        <v>96</v>
      </c>
      <c r="D39" s="2" t="s">
        <v>96</v>
      </c>
      <c r="E39" s="1">
        <v>1</v>
      </c>
      <c r="F39" s="1">
        <v>1</v>
      </c>
      <c r="G39" s="1" t="s">
        <v>804</v>
      </c>
    </row>
    <row r="40" spans="1:7" ht="25.5" x14ac:dyDescent="0.2">
      <c r="A40" s="1" t="s">
        <v>97</v>
      </c>
      <c r="B40" s="1" t="s">
        <v>98</v>
      </c>
      <c r="C40" s="1" t="s">
        <v>99</v>
      </c>
      <c r="D40" s="2" t="s">
        <v>98</v>
      </c>
      <c r="E40" s="1" t="s">
        <v>23</v>
      </c>
      <c r="F40" s="1" t="s">
        <v>23</v>
      </c>
      <c r="G40" s="1" t="s">
        <v>803</v>
      </c>
    </row>
    <row r="41" spans="1:7" ht="25.5" x14ac:dyDescent="0.2">
      <c r="A41" s="1" t="s">
        <v>100</v>
      </c>
      <c r="B41" s="1" t="s">
        <v>101</v>
      </c>
      <c r="C41" s="1" t="s">
        <v>101</v>
      </c>
      <c r="D41" s="2" t="s">
        <v>101</v>
      </c>
      <c r="E41" s="1">
        <v>1</v>
      </c>
      <c r="F41" s="1">
        <v>1</v>
      </c>
      <c r="G41" s="1" t="s">
        <v>804</v>
      </c>
    </row>
    <row r="42" spans="1:7" ht="25.5" x14ac:dyDescent="0.2">
      <c r="A42" s="1" t="s">
        <v>102</v>
      </c>
      <c r="B42" s="1" t="s">
        <v>103</v>
      </c>
      <c r="C42" s="1" t="s">
        <v>103</v>
      </c>
      <c r="D42" s="2" t="s">
        <v>103</v>
      </c>
      <c r="E42" s="1">
        <v>1</v>
      </c>
      <c r="F42" s="1">
        <v>1</v>
      </c>
      <c r="G42" s="1" t="s">
        <v>804</v>
      </c>
    </row>
    <row r="43" spans="1:7" ht="38.25" x14ac:dyDescent="0.2">
      <c r="A43" s="1" t="s">
        <v>104</v>
      </c>
      <c r="B43" s="1" t="s">
        <v>105</v>
      </c>
      <c r="C43" s="1" t="s">
        <v>106</v>
      </c>
      <c r="D43" s="2" t="s">
        <v>105</v>
      </c>
      <c r="E43" s="1">
        <v>1</v>
      </c>
      <c r="F43" s="1">
        <v>1</v>
      </c>
      <c r="G43" s="1" t="s">
        <v>802</v>
      </c>
    </row>
    <row r="44" spans="1:7" ht="25.5" x14ac:dyDescent="0.2">
      <c r="A44" s="1" t="s">
        <v>107</v>
      </c>
      <c r="B44" s="1" t="s">
        <v>108</v>
      </c>
      <c r="C44" s="1" t="s">
        <v>108</v>
      </c>
      <c r="D44" s="2" t="s">
        <v>108</v>
      </c>
      <c r="E44" s="1">
        <v>1</v>
      </c>
      <c r="F44" s="1">
        <v>1</v>
      </c>
      <c r="G44" s="1" t="s">
        <v>804</v>
      </c>
    </row>
    <row r="45" spans="1:7" ht="38.25" x14ac:dyDescent="0.2">
      <c r="A45" s="1" t="s">
        <v>109</v>
      </c>
      <c r="B45" s="1" t="s">
        <v>110</v>
      </c>
      <c r="C45" s="1" t="s">
        <v>110</v>
      </c>
      <c r="D45" s="2" t="s">
        <v>111</v>
      </c>
      <c r="E45" s="1">
        <v>1</v>
      </c>
      <c r="F45" s="1">
        <v>1</v>
      </c>
      <c r="G45" s="1" t="s">
        <v>804</v>
      </c>
    </row>
    <row r="46" spans="1:7" ht="25.5" x14ac:dyDescent="0.2">
      <c r="A46" s="1" t="s">
        <v>112</v>
      </c>
      <c r="B46" s="1" t="s">
        <v>113</v>
      </c>
      <c r="C46" s="1" t="s">
        <v>113</v>
      </c>
      <c r="D46" s="2" t="s">
        <v>113</v>
      </c>
      <c r="E46" s="1">
        <v>1</v>
      </c>
      <c r="F46" s="1">
        <v>1</v>
      </c>
      <c r="G46" s="1" t="s">
        <v>804</v>
      </c>
    </row>
    <row r="47" spans="1:7" ht="38.25" x14ac:dyDescent="0.2">
      <c r="A47" s="1" t="s">
        <v>114</v>
      </c>
      <c r="B47" s="1" t="s">
        <v>115</v>
      </c>
      <c r="C47" s="1" t="s">
        <v>115</v>
      </c>
      <c r="D47" s="2" t="s">
        <v>115</v>
      </c>
      <c r="E47" s="1">
        <v>1</v>
      </c>
      <c r="F47" s="1">
        <v>1</v>
      </c>
      <c r="G47" s="1" t="s">
        <v>804</v>
      </c>
    </row>
    <row r="48" spans="1:7" ht="38.25" x14ac:dyDescent="0.2">
      <c r="A48" s="1" t="s">
        <v>116</v>
      </c>
      <c r="B48" s="1" t="s">
        <v>117</v>
      </c>
      <c r="C48" s="1" t="s">
        <v>117</v>
      </c>
      <c r="D48" s="2" t="s">
        <v>117</v>
      </c>
      <c r="E48" s="1">
        <v>1</v>
      </c>
      <c r="F48" s="1">
        <v>1</v>
      </c>
      <c r="G48" s="1" t="s">
        <v>804</v>
      </c>
    </row>
    <row r="49" spans="1:7" ht="25.5" x14ac:dyDescent="0.2">
      <c r="A49" s="1" t="s">
        <v>118</v>
      </c>
      <c r="B49" s="1" t="s">
        <v>119</v>
      </c>
      <c r="C49" s="1" t="s">
        <v>120</v>
      </c>
      <c r="D49" s="2" t="s">
        <v>119</v>
      </c>
      <c r="E49" s="1" t="s">
        <v>15</v>
      </c>
      <c r="F49" s="1" t="s">
        <v>15</v>
      </c>
      <c r="G49" s="1" t="s">
        <v>802</v>
      </c>
    </row>
    <row r="50" spans="1:7" ht="25.5" x14ac:dyDescent="0.2">
      <c r="A50" s="1" t="s">
        <v>121</v>
      </c>
      <c r="B50" s="1" t="s">
        <v>122</v>
      </c>
      <c r="C50" s="1" t="s">
        <v>122</v>
      </c>
      <c r="D50" s="2" t="s">
        <v>122</v>
      </c>
      <c r="E50" s="1">
        <v>1</v>
      </c>
      <c r="F50" s="1">
        <v>1</v>
      </c>
      <c r="G50" s="1" t="s">
        <v>804</v>
      </c>
    </row>
    <row r="51" spans="1:7" ht="25.5" x14ac:dyDescent="0.2">
      <c r="A51" s="1" t="s">
        <v>123</v>
      </c>
      <c r="B51" s="1" t="s">
        <v>124</v>
      </c>
      <c r="C51" s="1" t="s">
        <v>124</v>
      </c>
      <c r="D51" s="2" t="s">
        <v>124</v>
      </c>
      <c r="E51" s="1">
        <v>1</v>
      </c>
      <c r="F51" s="1">
        <v>1</v>
      </c>
      <c r="G51" s="1" t="s">
        <v>804</v>
      </c>
    </row>
    <row r="52" spans="1:7" ht="15" customHeight="1" x14ac:dyDescent="0.2">
      <c r="D52" s="94" t="s">
        <v>837</v>
      </c>
      <c r="E52" s="92">
        <f>SUM(F2:F51)/50</f>
        <v>0.82799999999999985</v>
      </c>
      <c r="F52" s="92">
        <f>SUM(E2:E51)/50</f>
        <v>0.74</v>
      </c>
    </row>
    <row r="53" spans="1:7" ht="12.75" x14ac:dyDescent="0.2">
      <c r="D53" s="27"/>
      <c r="E53" s="92" t="s">
        <v>824</v>
      </c>
      <c r="F53" s="92" t="s">
        <v>825</v>
      </c>
    </row>
    <row r="54" spans="1:7" x14ac:dyDescent="0.2">
      <c r="D54" s="94" t="s">
        <v>832</v>
      </c>
      <c r="E54" s="93" t="s">
        <v>870</v>
      </c>
      <c r="F54" s="93" t="s">
        <v>869</v>
      </c>
    </row>
    <row r="55" spans="1:7" x14ac:dyDescent="0.2">
      <c r="D55" s="94" t="s">
        <v>828</v>
      </c>
      <c r="E55" s="93" t="s">
        <v>868</v>
      </c>
      <c r="F55" s="93" t="s">
        <v>867</v>
      </c>
    </row>
    <row r="56" spans="1:7" x14ac:dyDescent="0.2">
      <c r="D56" s="94" t="s">
        <v>831</v>
      </c>
      <c r="E56" s="93" t="s">
        <v>865</v>
      </c>
      <c r="F56" s="93" t="s">
        <v>866</v>
      </c>
    </row>
    <row r="57" spans="1:7" ht="12.75" x14ac:dyDescent="0.2"/>
    <row r="58" spans="1:7" ht="12.75" x14ac:dyDescent="0.2"/>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68"/>
  <sheetViews>
    <sheetView topLeftCell="A58" workbookViewId="0">
      <selection activeCell="I61" sqref="I61"/>
    </sheetView>
  </sheetViews>
  <sheetFormatPr defaultColWidth="12.5703125" defaultRowHeight="15" customHeight="1" x14ac:dyDescent="0.2"/>
  <cols>
    <col min="11" max="11" width="22.140625" customWidth="1"/>
    <col min="12" max="12" width="27.42578125" customWidth="1"/>
  </cols>
  <sheetData>
    <row r="1" spans="1:13" ht="15" customHeight="1" x14ac:dyDescent="0.2">
      <c r="A1" s="96" t="s">
        <v>0</v>
      </c>
      <c r="B1" s="97" t="s">
        <v>824</v>
      </c>
      <c r="C1" s="97" t="s">
        <v>871</v>
      </c>
      <c r="D1" s="97" t="s">
        <v>823</v>
      </c>
      <c r="E1" s="96" t="s">
        <v>824</v>
      </c>
      <c r="F1" s="96" t="s">
        <v>825</v>
      </c>
      <c r="G1" s="96" t="s">
        <v>819</v>
      </c>
    </row>
    <row r="2" spans="1:13" ht="102" x14ac:dyDescent="0.2">
      <c r="A2" s="1" t="s">
        <v>259</v>
      </c>
      <c r="B2" s="1" t="s">
        <v>260</v>
      </c>
      <c r="C2" s="1" t="s">
        <v>260</v>
      </c>
      <c r="D2" s="2" t="s">
        <v>261</v>
      </c>
      <c r="E2" s="1">
        <v>1</v>
      </c>
      <c r="F2" s="1">
        <v>1</v>
      </c>
      <c r="G2" s="1" t="s">
        <v>804</v>
      </c>
    </row>
    <row r="3" spans="1:13" ht="102" x14ac:dyDescent="0.2">
      <c r="A3" s="1" t="s">
        <v>262</v>
      </c>
      <c r="B3" s="1" t="s">
        <v>263</v>
      </c>
      <c r="C3" s="1" t="s">
        <v>263</v>
      </c>
      <c r="D3" s="2" t="s">
        <v>264</v>
      </c>
      <c r="E3" s="1">
        <v>1</v>
      </c>
      <c r="F3" s="1">
        <v>1</v>
      </c>
      <c r="G3" s="1" t="s">
        <v>804</v>
      </c>
    </row>
    <row r="4" spans="1:13" ht="63.75" x14ac:dyDescent="0.2">
      <c r="A4" s="1" t="s">
        <v>265</v>
      </c>
      <c r="B4" s="1" t="s">
        <v>266</v>
      </c>
      <c r="C4" s="1" t="s">
        <v>266</v>
      </c>
      <c r="D4" s="2" t="s">
        <v>267</v>
      </c>
      <c r="E4" s="1">
        <v>1</v>
      </c>
      <c r="F4" s="1">
        <v>1</v>
      </c>
      <c r="G4" s="1" t="s">
        <v>804</v>
      </c>
      <c r="K4" s="40" t="s">
        <v>800</v>
      </c>
      <c r="L4" s="40" t="s">
        <v>801</v>
      </c>
    </row>
    <row r="5" spans="1:13" ht="89.25" x14ac:dyDescent="0.2">
      <c r="A5" s="1" t="s">
        <v>268</v>
      </c>
      <c r="B5" s="1" t="s">
        <v>269</v>
      </c>
      <c r="C5" s="1" t="s">
        <v>269</v>
      </c>
      <c r="D5" s="2" t="s">
        <v>269</v>
      </c>
      <c r="E5" s="1">
        <v>1</v>
      </c>
      <c r="F5" s="1">
        <v>1</v>
      </c>
      <c r="G5" s="1" t="s">
        <v>804</v>
      </c>
      <c r="K5" s="37" t="s">
        <v>804</v>
      </c>
      <c r="L5" s="38">
        <v>55</v>
      </c>
    </row>
    <row r="6" spans="1:13" ht="114.75" x14ac:dyDescent="0.2">
      <c r="A6" s="1" t="s">
        <v>270</v>
      </c>
      <c r="B6" s="1" t="s">
        <v>271</v>
      </c>
      <c r="C6" s="1" t="s">
        <v>271</v>
      </c>
      <c r="D6" s="2" t="s">
        <v>271</v>
      </c>
      <c r="E6" s="1">
        <v>1</v>
      </c>
      <c r="F6" s="1">
        <v>1</v>
      </c>
      <c r="G6" s="1" t="s">
        <v>804</v>
      </c>
      <c r="K6" s="39" t="s">
        <v>803</v>
      </c>
      <c r="L6" s="39">
        <v>5</v>
      </c>
    </row>
    <row r="7" spans="1:13" ht="90" x14ac:dyDescent="0.25">
      <c r="A7" s="1" t="s">
        <v>272</v>
      </c>
      <c r="B7" s="1" t="s">
        <v>273</v>
      </c>
      <c r="C7" s="1" t="s">
        <v>273</v>
      </c>
      <c r="D7" s="2" t="s">
        <v>273</v>
      </c>
      <c r="E7" s="1">
        <v>1</v>
      </c>
      <c r="F7" s="1">
        <v>1</v>
      </c>
      <c r="G7" s="1" t="s">
        <v>804</v>
      </c>
      <c r="K7" s="29" t="s">
        <v>814</v>
      </c>
      <c r="L7" s="29">
        <v>60</v>
      </c>
    </row>
    <row r="8" spans="1:13" ht="76.5" x14ac:dyDescent="0.2">
      <c r="A8" s="1" t="s">
        <v>274</v>
      </c>
      <c r="B8" s="1" t="s">
        <v>275</v>
      </c>
      <c r="C8" s="1" t="s">
        <v>275</v>
      </c>
      <c r="D8" s="2" t="s">
        <v>275</v>
      </c>
      <c r="E8" s="1">
        <v>1</v>
      </c>
      <c r="F8" s="1">
        <v>1</v>
      </c>
      <c r="G8" s="1" t="s">
        <v>804</v>
      </c>
    </row>
    <row r="9" spans="1:13" ht="63.75" x14ac:dyDescent="0.2">
      <c r="A9" s="1" t="s">
        <v>276</v>
      </c>
      <c r="B9" s="1" t="s">
        <v>277</v>
      </c>
      <c r="C9" s="1" t="s">
        <v>277</v>
      </c>
      <c r="D9" s="2" t="s">
        <v>277</v>
      </c>
      <c r="E9" s="1">
        <v>1</v>
      </c>
      <c r="F9" s="1">
        <v>1</v>
      </c>
      <c r="G9" s="1" t="s">
        <v>804</v>
      </c>
    </row>
    <row r="10" spans="1:13" ht="89.25" x14ac:dyDescent="0.2">
      <c r="A10" s="1" t="s">
        <v>278</v>
      </c>
      <c r="B10" s="1" t="s">
        <v>279</v>
      </c>
      <c r="C10" s="1" t="s">
        <v>279</v>
      </c>
      <c r="D10" s="2" t="s">
        <v>279</v>
      </c>
      <c r="E10" s="1">
        <v>1</v>
      </c>
      <c r="F10" s="1">
        <v>1</v>
      </c>
      <c r="G10" s="1" t="s">
        <v>804</v>
      </c>
      <c r="L10" s="14"/>
      <c r="M10" s="14"/>
    </row>
    <row r="11" spans="1:13" ht="63.75" x14ac:dyDescent="0.2">
      <c r="A11" s="1" t="s">
        <v>280</v>
      </c>
      <c r="B11" s="1" t="s">
        <v>281</v>
      </c>
      <c r="C11" s="1" t="s">
        <v>281</v>
      </c>
      <c r="D11" s="2" t="s">
        <v>282</v>
      </c>
      <c r="E11" s="1">
        <v>1</v>
      </c>
      <c r="F11" s="1" t="s">
        <v>15</v>
      </c>
      <c r="G11" s="1" t="s">
        <v>804</v>
      </c>
      <c r="L11" s="14"/>
      <c r="M11" s="14"/>
    </row>
    <row r="12" spans="1:13" ht="89.25" x14ac:dyDescent="0.2">
      <c r="A12" s="1" t="s">
        <v>283</v>
      </c>
      <c r="B12" s="1" t="s">
        <v>284</v>
      </c>
      <c r="C12" s="1" t="s">
        <v>284</v>
      </c>
      <c r="D12" s="2" t="s">
        <v>284</v>
      </c>
      <c r="E12" s="1">
        <v>1</v>
      </c>
      <c r="F12" s="1">
        <v>1</v>
      </c>
      <c r="G12" s="1" t="s">
        <v>804</v>
      </c>
      <c r="L12" s="16"/>
      <c r="M12" s="17"/>
    </row>
    <row r="13" spans="1:13" ht="89.25" x14ac:dyDescent="0.2">
      <c r="A13" s="1" t="s">
        <v>285</v>
      </c>
      <c r="B13" s="1" t="s">
        <v>286</v>
      </c>
      <c r="C13" s="1" t="s">
        <v>286</v>
      </c>
      <c r="D13" s="2" t="s">
        <v>286</v>
      </c>
      <c r="E13" s="1">
        <v>1</v>
      </c>
      <c r="F13" s="1">
        <v>1</v>
      </c>
      <c r="G13" s="1" t="s">
        <v>804</v>
      </c>
      <c r="L13" s="14"/>
      <c r="M13" s="14"/>
    </row>
    <row r="14" spans="1:13" ht="102" x14ac:dyDescent="0.2">
      <c r="A14" s="1" t="s">
        <v>287</v>
      </c>
      <c r="B14" s="1" t="s">
        <v>288</v>
      </c>
      <c r="C14" s="1" t="s">
        <v>288</v>
      </c>
      <c r="D14" s="2" t="s">
        <v>289</v>
      </c>
      <c r="E14" s="1">
        <v>1</v>
      </c>
      <c r="F14" s="1">
        <v>1</v>
      </c>
      <c r="G14" s="1" t="s">
        <v>804</v>
      </c>
      <c r="L14" s="14"/>
      <c r="M14" s="14"/>
    </row>
    <row r="15" spans="1:13" ht="63.75" x14ac:dyDescent="0.2">
      <c r="A15" s="1" t="s">
        <v>290</v>
      </c>
      <c r="B15" s="1" t="s">
        <v>291</v>
      </c>
      <c r="C15" s="1" t="s">
        <v>291</v>
      </c>
      <c r="D15" s="2" t="s">
        <v>292</v>
      </c>
      <c r="E15" s="1">
        <v>1</v>
      </c>
      <c r="F15" s="1">
        <v>1</v>
      </c>
      <c r="G15" s="1" t="s">
        <v>804</v>
      </c>
      <c r="L15" s="14"/>
      <c r="M15" s="14"/>
    </row>
    <row r="16" spans="1:13" ht="63.75" x14ac:dyDescent="0.2">
      <c r="A16" s="1" t="s">
        <v>293</v>
      </c>
      <c r="B16" s="1" t="s">
        <v>294</v>
      </c>
      <c r="C16" s="1" t="s">
        <v>294</v>
      </c>
      <c r="D16" s="2" t="s">
        <v>294</v>
      </c>
      <c r="E16" s="1">
        <v>1</v>
      </c>
      <c r="F16" s="1">
        <v>1</v>
      </c>
      <c r="G16" s="1" t="s">
        <v>804</v>
      </c>
      <c r="L16" s="15"/>
      <c r="M16" s="15"/>
    </row>
    <row r="17" spans="1:13" ht="114.75" x14ac:dyDescent="0.2">
      <c r="A17" s="1" t="s">
        <v>295</v>
      </c>
      <c r="B17" s="1" t="s">
        <v>296</v>
      </c>
      <c r="C17" s="1" t="s">
        <v>296</v>
      </c>
      <c r="D17" s="2" t="s">
        <v>297</v>
      </c>
      <c r="E17" s="1">
        <v>1</v>
      </c>
      <c r="F17" s="1">
        <v>1</v>
      </c>
      <c r="G17" s="1" t="s">
        <v>804</v>
      </c>
      <c r="L17" s="14"/>
      <c r="M17" s="14"/>
    </row>
    <row r="18" spans="1:13" ht="89.25" x14ac:dyDescent="0.2">
      <c r="A18" s="1" t="s">
        <v>298</v>
      </c>
      <c r="B18" s="1" t="s">
        <v>299</v>
      </c>
      <c r="C18" s="1" t="s">
        <v>299</v>
      </c>
      <c r="D18" s="2" t="s">
        <v>300</v>
      </c>
      <c r="E18" s="1">
        <v>1</v>
      </c>
      <c r="F18" s="1">
        <v>1</v>
      </c>
      <c r="G18" s="1" t="s">
        <v>804</v>
      </c>
      <c r="L18" s="14"/>
      <c r="M18" s="14"/>
    </row>
    <row r="19" spans="1:13" ht="102" x14ac:dyDescent="0.2">
      <c r="A19" s="1" t="s">
        <v>301</v>
      </c>
      <c r="B19" s="1" t="s">
        <v>302</v>
      </c>
      <c r="C19" s="1" t="s">
        <v>303</v>
      </c>
      <c r="D19" s="2" t="s">
        <v>302</v>
      </c>
      <c r="E19" s="1" t="s">
        <v>15</v>
      </c>
      <c r="F19" s="1" t="s">
        <v>15</v>
      </c>
      <c r="G19" s="1" t="s">
        <v>803</v>
      </c>
      <c r="L19" s="14"/>
      <c r="M19" s="14"/>
    </row>
    <row r="20" spans="1:13" ht="76.5" x14ac:dyDescent="0.2">
      <c r="A20" s="1" t="s">
        <v>304</v>
      </c>
      <c r="B20" s="1" t="s">
        <v>305</v>
      </c>
      <c r="C20" s="1" t="s">
        <v>305</v>
      </c>
      <c r="D20" s="2" t="s">
        <v>306</v>
      </c>
      <c r="E20" s="1" t="s">
        <v>15</v>
      </c>
      <c r="F20" s="1" t="s">
        <v>15</v>
      </c>
      <c r="G20" s="1" t="s">
        <v>804</v>
      </c>
      <c r="L20" s="14"/>
      <c r="M20" s="14"/>
    </row>
    <row r="21" spans="1:13" ht="102" x14ac:dyDescent="0.2">
      <c r="A21" s="1" t="s">
        <v>307</v>
      </c>
      <c r="B21" s="1" t="s">
        <v>308</v>
      </c>
      <c r="C21" s="1" t="s">
        <v>309</v>
      </c>
      <c r="D21" s="2" t="s">
        <v>308</v>
      </c>
      <c r="E21" s="1" t="s">
        <v>310</v>
      </c>
      <c r="F21" s="1" t="s">
        <v>15</v>
      </c>
      <c r="G21" s="1" t="s">
        <v>803</v>
      </c>
      <c r="L21" s="14"/>
      <c r="M21" s="14"/>
    </row>
    <row r="22" spans="1:13" ht="89.25" x14ac:dyDescent="0.2">
      <c r="A22" s="1" t="s">
        <v>311</v>
      </c>
      <c r="B22" s="1" t="s">
        <v>312</v>
      </c>
      <c r="C22" s="1" t="s">
        <v>312</v>
      </c>
      <c r="D22" s="2" t="s">
        <v>313</v>
      </c>
      <c r="E22" s="1">
        <v>1</v>
      </c>
      <c r="F22" s="1">
        <v>1</v>
      </c>
      <c r="G22" s="1" t="s">
        <v>804</v>
      </c>
      <c r="L22" s="16"/>
      <c r="M22" s="16"/>
    </row>
    <row r="23" spans="1:13" ht="102" x14ac:dyDescent="0.2">
      <c r="A23" s="1" t="s">
        <v>314</v>
      </c>
      <c r="B23" s="1" t="s">
        <v>315</v>
      </c>
      <c r="C23" s="1" t="s">
        <v>315</v>
      </c>
      <c r="D23" s="2" t="s">
        <v>316</v>
      </c>
      <c r="E23" s="1">
        <v>1</v>
      </c>
      <c r="F23" s="1">
        <v>1</v>
      </c>
      <c r="G23" s="1" t="s">
        <v>804</v>
      </c>
    </row>
    <row r="24" spans="1:13" ht="114.75" x14ac:dyDescent="0.2">
      <c r="A24" s="1" t="s">
        <v>317</v>
      </c>
      <c r="B24" s="1" t="s">
        <v>318</v>
      </c>
      <c r="C24" s="1" t="s">
        <v>319</v>
      </c>
      <c r="D24" s="2" t="s">
        <v>320</v>
      </c>
      <c r="E24" s="1" t="s">
        <v>15</v>
      </c>
      <c r="F24" s="1" t="s">
        <v>15</v>
      </c>
      <c r="G24" s="1" t="s">
        <v>803</v>
      </c>
    </row>
    <row r="25" spans="1:13" ht="102" x14ac:dyDescent="0.2">
      <c r="A25" s="1" t="s">
        <v>321</v>
      </c>
      <c r="B25" s="1" t="s">
        <v>322</v>
      </c>
      <c r="C25" s="1" t="s">
        <v>322</v>
      </c>
      <c r="D25" s="2" t="s">
        <v>322</v>
      </c>
      <c r="E25" s="1">
        <v>1</v>
      </c>
      <c r="F25" s="1">
        <v>1</v>
      </c>
      <c r="G25" s="1" t="s">
        <v>804</v>
      </c>
    </row>
    <row r="26" spans="1:13" ht="89.25" x14ac:dyDescent="0.2">
      <c r="A26" s="1" t="s">
        <v>323</v>
      </c>
      <c r="B26" s="1" t="s">
        <v>324</v>
      </c>
      <c r="C26" s="1" t="s">
        <v>324</v>
      </c>
      <c r="D26" s="2" t="s">
        <v>325</v>
      </c>
      <c r="E26" s="1">
        <v>1</v>
      </c>
      <c r="F26" s="1">
        <v>1</v>
      </c>
      <c r="G26" s="1" t="s">
        <v>804</v>
      </c>
    </row>
    <row r="27" spans="1:13" ht="114.75" x14ac:dyDescent="0.2">
      <c r="A27" s="1" t="s">
        <v>326</v>
      </c>
      <c r="B27" s="1" t="s">
        <v>327</v>
      </c>
      <c r="C27" s="1" t="s">
        <v>327</v>
      </c>
      <c r="D27" s="2" t="s">
        <v>328</v>
      </c>
      <c r="E27" s="1">
        <v>1</v>
      </c>
      <c r="F27" s="1">
        <v>1</v>
      </c>
      <c r="G27" s="1" t="s">
        <v>804</v>
      </c>
    </row>
    <row r="28" spans="1:13" ht="76.5" x14ac:dyDescent="0.2">
      <c r="A28" s="1" t="s">
        <v>329</v>
      </c>
      <c r="B28" s="1" t="s">
        <v>330</v>
      </c>
      <c r="C28" s="1" t="s">
        <v>330</v>
      </c>
      <c r="D28" s="2" t="s">
        <v>330</v>
      </c>
      <c r="E28" s="1">
        <v>1</v>
      </c>
      <c r="F28" s="1"/>
      <c r="G28" s="1" t="s">
        <v>804</v>
      </c>
    </row>
    <row r="29" spans="1:13" ht="89.25" x14ac:dyDescent="0.2">
      <c r="A29" s="1" t="s">
        <v>331</v>
      </c>
      <c r="B29" s="1" t="s">
        <v>332</v>
      </c>
      <c r="C29" s="1" t="s">
        <v>332</v>
      </c>
      <c r="D29" s="2" t="s">
        <v>333</v>
      </c>
      <c r="E29" s="1">
        <v>1</v>
      </c>
      <c r="F29" s="1">
        <v>1</v>
      </c>
      <c r="G29" s="1" t="s">
        <v>804</v>
      </c>
    </row>
    <row r="30" spans="1:13" ht="89.25" x14ac:dyDescent="0.2">
      <c r="A30" s="1" t="s">
        <v>334</v>
      </c>
      <c r="B30" s="1" t="s">
        <v>335</v>
      </c>
      <c r="C30" s="1" t="s">
        <v>335</v>
      </c>
      <c r="D30" s="2" t="s">
        <v>335</v>
      </c>
      <c r="E30" s="1">
        <v>1</v>
      </c>
      <c r="F30" s="1">
        <v>1</v>
      </c>
      <c r="G30" s="1" t="s">
        <v>804</v>
      </c>
    </row>
    <row r="31" spans="1:13" ht="76.5" x14ac:dyDescent="0.2">
      <c r="A31" s="1" t="s">
        <v>336</v>
      </c>
      <c r="B31" s="1" t="s">
        <v>337</v>
      </c>
      <c r="C31" s="1" t="s">
        <v>337</v>
      </c>
      <c r="D31" s="2" t="s">
        <v>338</v>
      </c>
      <c r="E31" s="1">
        <v>1</v>
      </c>
      <c r="F31" s="1">
        <v>1</v>
      </c>
      <c r="G31" s="1" t="s">
        <v>804</v>
      </c>
    </row>
    <row r="32" spans="1:13" ht="102" x14ac:dyDescent="0.2">
      <c r="A32" s="1" t="s">
        <v>339</v>
      </c>
      <c r="B32" s="1" t="s">
        <v>340</v>
      </c>
      <c r="C32" s="1" t="s">
        <v>340</v>
      </c>
      <c r="D32" s="2" t="s">
        <v>340</v>
      </c>
      <c r="E32" s="1">
        <v>1</v>
      </c>
      <c r="F32" s="1">
        <v>1</v>
      </c>
      <c r="G32" s="1" t="s">
        <v>804</v>
      </c>
    </row>
    <row r="33" spans="1:7" ht="102" x14ac:dyDescent="0.2">
      <c r="A33" s="1" t="s">
        <v>341</v>
      </c>
      <c r="B33" s="1" t="s">
        <v>342</v>
      </c>
      <c r="C33" s="1" t="s">
        <v>342</v>
      </c>
      <c r="D33" s="2" t="s">
        <v>342</v>
      </c>
      <c r="E33" s="1">
        <v>1</v>
      </c>
      <c r="F33" s="1">
        <v>1</v>
      </c>
      <c r="G33" s="1" t="s">
        <v>804</v>
      </c>
    </row>
    <row r="34" spans="1:7" ht="76.5" x14ac:dyDescent="0.2">
      <c r="A34" s="1" t="s">
        <v>343</v>
      </c>
      <c r="B34" s="1" t="s">
        <v>344</v>
      </c>
      <c r="C34" s="1" t="s">
        <v>344</v>
      </c>
      <c r="D34" s="2" t="s">
        <v>344</v>
      </c>
      <c r="E34" s="1">
        <v>1</v>
      </c>
      <c r="F34" s="1">
        <v>1</v>
      </c>
      <c r="G34" s="1" t="s">
        <v>804</v>
      </c>
    </row>
    <row r="35" spans="1:7" ht="102" x14ac:dyDescent="0.2">
      <c r="A35" s="1" t="s">
        <v>345</v>
      </c>
      <c r="B35" s="1" t="s">
        <v>346</v>
      </c>
      <c r="C35" s="1" t="s">
        <v>346</v>
      </c>
      <c r="D35" s="2" t="s">
        <v>346</v>
      </c>
      <c r="E35" s="1">
        <v>1</v>
      </c>
      <c r="F35" s="1">
        <v>1</v>
      </c>
      <c r="G35" s="1" t="s">
        <v>804</v>
      </c>
    </row>
    <row r="36" spans="1:7" ht="89.25" x14ac:dyDescent="0.2">
      <c r="A36" s="1" t="s">
        <v>347</v>
      </c>
      <c r="B36" s="1" t="s">
        <v>348</v>
      </c>
      <c r="C36" s="1" t="s">
        <v>348</v>
      </c>
      <c r="D36" s="2" t="s">
        <v>349</v>
      </c>
      <c r="E36" s="1">
        <v>1</v>
      </c>
      <c r="F36" s="1">
        <v>1</v>
      </c>
      <c r="G36" s="1" t="s">
        <v>804</v>
      </c>
    </row>
    <row r="37" spans="1:7" ht="102" x14ac:dyDescent="0.2">
      <c r="A37" s="1" t="s">
        <v>350</v>
      </c>
      <c r="B37" s="1" t="s">
        <v>351</v>
      </c>
      <c r="C37" s="1" t="s">
        <v>351</v>
      </c>
      <c r="D37" s="2" t="s">
        <v>352</v>
      </c>
      <c r="E37" s="1">
        <v>1</v>
      </c>
      <c r="F37" s="1">
        <v>1</v>
      </c>
      <c r="G37" s="1" t="s">
        <v>804</v>
      </c>
    </row>
    <row r="38" spans="1:7" ht="89.25" x14ac:dyDescent="0.2">
      <c r="A38" s="1" t="s">
        <v>353</v>
      </c>
      <c r="B38" s="1" t="s">
        <v>354</v>
      </c>
      <c r="C38" s="1" t="s">
        <v>355</v>
      </c>
      <c r="D38" s="2" t="s">
        <v>354</v>
      </c>
      <c r="E38" s="1" t="s">
        <v>15</v>
      </c>
      <c r="F38" s="1" t="s">
        <v>15</v>
      </c>
      <c r="G38" s="1" t="s">
        <v>803</v>
      </c>
    </row>
    <row r="39" spans="1:7" ht="89.25" x14ac:dyDescent="0.2">
      <c r="A39" s="1" t="s">
        <v>356</v>
      </c>
      <c r="B39" s="1" t="s">
        <v>357</v>
      </c>
      <c r="C39" s="1" t="s">
        <v>357</v>
      </c>
      <c r="D39" s="2" t="s">
        <v>358</v>
      </c>
      <c r="E39" s="1">
        <v>1</v>
      </c>
      <c r="F39" s="1">
        <v>1</v>
      </c>
      <c r="G39" s="1" t="s">
        <v>804</v>
      </c>
    </row>
    <row r="40" spans="1:7" ht="102" x14ac:dyDescent="0.2">
      <c r="A40" s="1" t="s">
        <v>359</v>
      </c>
      <c r="B40" s="1" t="s">
        <v>360</v>
      </c>
      <c r="C40" s="1" t="s">
        <v>360</v>
      </c>
      <c r="D40" s="2" t="s">
        <v>360</v>
      </c>
      <c r="E40" s="1">
        <v>1</v>
      </c>
      <c r="F40" s="1">
        <v>1</v>
      </c>
      <c r="G40" s="1" t="s">
        <v>804</v>
      </c>
    </row>
    <row r="41" spans="1:7" ht="102" x14ac:dyDescent="0.2">
      <c r="A41" s="1" t="s">
        <v>361</v>
      </c>
      <c r="B41" s="1" t="s">
        <v>362</v>
      </c>
      <c r="C41" s="1" t="s">
        <v>362</v>
      </c>
      <c r="D41" s="2" t="s">
        <v>363</v>
      </c>
      <c r="E41" s="1">
        <v>1</v>
      </c>
      <c r="F41" s="1">
        <v>1</v>
      </c>
      <c r="G41" s="1" t="s">
        <v>804</v>
      </c>
    </row>
    <row r="42" spans="1:7" ht="114.75" x14ac:dyDescent="0.2">
      <c r="A42" s="1" t="s">
        <v>364</v>
      </c>
      <c r="B42" s="1" t="s">
        <v>365</v>
      </c>
      <c r="C42" s="1" t="s">
        <v>365</v>
      </c>
      <c r="D42" s="2" t="s">
        <v>365</v>
      </c>
      <c r="E42" s="1">
        <v>1</v>
      </c>
      <c r="F42" s="1">
        <v>1</v>
      </c>
      <c r="G42" s="1" t="s">
        <v>804</v>
      </c>
    </row>
    <row r="43" spans="1:7" ht="102" x14ac:dyDescent="0.2">
      <c r="A43" s="1" t="s">
        <v>366</v>
      </c>
      <c r="B43" s="1" t="s">
        <v>367</v>
      </c>
      <c r="C43" s="1" t="s">
        <v>367</v>
      </c>
      <c r="D43" s="2" t="s">
        <v>367</v>
      </c>
      <c r="E43" s="1">
        <v>1</v>
      </c>
      <c r="F43" s="1">
        <v>1</v>
      </c>
      <c r="G43" s="1" t="s">
        <v>804</v>
      </c>
    </row>
    <row r="44" spans="1:7" ht="127.5" x14ac:dyDescent="0.2">
      <c r="A44" s="1" t="s">
        <v>368</v>
      </c>
      <c r="B44" s="1" t="s">
        <v>369</v>
      </c>
      <c r="C44" s="1" t="s">
        <v>369</v>
      </c>
      <c r="D44" s="2" t="s">
        <v>370</v>
      </c>
      <c r="E44" s="1">
        <v>1</v>
      </c>
      <c r="F44" s="1">
        <v>1</v>
      </c>
      <c r="G44" s="1" t="s">
        <v>804</v>
      </c>
    </row>
    <row r="45" spans="1:7" ht="89.25" x14ac:dyDescent="0.2">
      <c r="A45" s="1" t="s">
        <v>371</v>
      </c>
      <c r="B45" s="1" t="s">
        <v>372</v>
      </c>
      <c r="C45" s="1" t="s">
        <v>373</v>
      </c>
      <c r="D45" s="2" t="s">
        <v>372</v>
      </c>
      <c r="E45" s="1">
        <v>1</v>
      </c>
      <c r="F45" s="1">
        <v>1</v>
      </c>
      <c r="G45" s="1" t="s">
        <v>803</v>
      </c>
    </row>
    <row r="46" spans="1:7" ht="102" x14ac:dyDescent="0.2">
      <c r="A46" s="1" t="s">
        <v>374</v>
      </c>
      <c r="B46" s="1" t="s">
        <v>375</v>
      </c>
      <c r="C46" s="1" t="s">
        <v>375</v>
      </c>
      <c r="D46" s="2" t="s">
        <v>375</v>
      </c>
      <c r="E46" s="1">
        <v>1</v>
      </c>
      <c r="F46" s="1">
        <v>1</v>
      </c>
      <c r="G46" s="1" t="s">
        <v>804</v>
      </c>
    </row>
    <row r="47" spans="1:7" ht="89.25" x14ac:dyDescent="0.2">
      <c r="A47" s="1" t="s">
        <v>376</v>
      </c>
      <c r="B47" s="1" t="s">
        <v>377</v>
      </c>
      <c r="C47" s="1" t="s">
        <v>377</v>
      </c>
      <c r="D47" s="2" t="s">
        <v>378</v>
      </c>
      <c r="E47" s="1">
        <v>1</v>
      </c>
      <c r="F47" s="1">
        <v>1</v>
      </c>
      <c r="G47" s="1" t="s">
        <v>804</v>
      </c>
    </row>
    <row r="48" spans="1:7" ht="102" x14ac:dyDescent="0.2">
      <c r="A48" s="1" t="s">
        <v>379</v>
      </c>
      <c r="B48" s="1" t="s">
        <v>380</v>
      </c>
      <c r="C48" s="1" t="s">
        <v>380</v>
      </c>
      <c r="D48" s="2" t="s">
        <v>381</v>
      </c>
      <c r="E48" s="1" t="s">
        <v>15</v>
      </c>
      <c r="F48" s="1">
        <v>1</v>
      </c>
      <c r="G48" s="1" t="s">
        <v>804</v>
      </c>
    </row>
    <row r="49" spans="1:7" ht="89.25" x14ac:dyDescent="0.2">
      <c r="A49" s="1" t="s">
        <v>382</v>
      </c>
      <c r="B49" s="1" t="s">
        <v>383</v>
      </c>
      <c r="C49" s="1" t="s">
        <v>383</v>
      </c>
      <c r="D49" s="2" t="s">
        <v>384</v>
      </c>
      <c r="E49" s="1">
        <v>1</v>
      </c>
      <c r="F49" s="1">
        <v>1</v>
      </c>
      <c r="G49" s="1" t="s">
        <v>804</v>
      </c>
    </row>
    <row r="50" spans="1:7" ht="76.5" x14ac:dyDescent="0.2">
      <c r="A50" s="1" t="s">
        <v>385</v>
      </c>
      <c r="B50" s="1" t="s">
        <v>386</v>
      </c>
      <c r="C50" s="1" t="s">
        <v>386</v>
      </c>
      <c r="D50" s="2" t="s">
        <v>386</v>
      </c>
      <c r="E50" s="1">
        <v>1</v>
      </c>
      <c r="F50" s="1">
        <v>1</v>
      </c>
      <c r="G50" s="1" t="s">
        <v>804</v>
      </c>
    </row>
    <row r="51" spans="1:7" ht="63.75" x14ac:dyDescent="0.2">
      <c r="A51" s="1" t="s">
        <v>387</v>
      </c>
      <c r="B51" s="1" t="s">
        <v>388</v>
      </c>
      <c r="C51" s="1" t="s">
        <v>388</v>
      </c>
      <c r="D51" s="2" t="s">
        <v>388</v>
      </c>
      <c r="E51" s="1">
        <v>1</v>
      </c>
      <c r="F51" s="1">
        <v>1</v>
      </c>
      <c r="G51" s="1" t="s">
        <v>804</v>
      </c>
    </row>
    <row r="52" spans="1:7" ht="102" x14ac:dyDescent="0.2">
      <c r="A52" s="1" t="s">
        <v>389</v>
      </c>
      <c r="B52" s="1" t="s">
        <v>390</v>
      </c>
      <c r="C52" s="1" t="s">
        <v>390</v>
      </c>
      <c r="D52" s="2" t="s">
        <v>391</v>
      </c>
      <c r="E52" s="1">
        <v>1</v>
      </c>
      <c r="F52" s="1">
        <v>1</v>
      </c>
      <c r="G52" s="1" t="s">
        <v>804</v>
      </c>
    </row>
    <row r="53" spans="1:7" ht="102" x14ac:dyDescent="0.2">
      <c r="A53" s="1" t="s">
        <v>392</v>
      </c>
      <c r="B53" s="1" t="s">
        <v>393</v>
      </c>
      <c r="C53" s="1" t="s">
        <v>393</v>
      </c>
      <c r="D53" s="2" t="s">
        <v>394</v>
      </c>
      <c r="E53" s="1">
        <v>1</v>
      </c>
      <c r="F53" s="1">
        <v>1</v>
      </c>
      <c r="G53" s="1" t="s">
        <v>804</v>
      </c>
    </row>
    <row r="54" spans="1:7" ht="89.25" x14ac:dyDescent="0.2">
      <c r="A54" s="1" t="s">
        <v>395</v>
      </c>
      <c r="B54" s="1" t="s">
        <v>396</v>
      </c>
      <c r="C54" s="1" t="s">
        <v>396</v>
      </c>
      <c r="D54" s="2" t="s">
        <v>396</v>
      </c>
      <c r="E54" s="1">
        <v>1</v>
      </c>
      <c r="F54" s="1">
        <v>1</v>
      </c>
      <c r="G54" s="1" t="s">
        <v>804</v>
      </c>
    </row>
    <row r="55" spans="1:7" ht="76.5" x14ac:dyDescent="0.2">
      <c r="A55" s="1" t="s">
        <v>397</v>
      </c>
      <c r="B55" s="1" t="s">
        <v>398</v>
      </c>
      <c r="C55" s="1" t="s">
        <v>398</v>
      </c>
      <c r="D55" s="2" t="s">
        <v>399</v>
      </c>
      <c r="E55" s="1">
        <v>1</v>
      </c>
      <c r="F55" s="1">
        <v>1</v>
      </c>
      <c r="G55" s="1" t="s">
        <v>804</v>
      </c>
    </row>
    <row r="56" spans="1:7" ht="102" x14ac:dyDescent="0.2">
      <c r="A56" s="1" t="s">
        <v>400</v>
      </c>
      <c r="B56" s="1" t="s">
        <v>401</v>
      </c>
      <c r="C56" s="1" t="s">
        <v>401</v>
      </c>
      <c r="D56" s="2" t="s">
        <v>401</v>
      </c>
      <c r="E56" s="1">
        <v>1</v>
      </c>
      <c r="F56" s="1">
        <v>1</v>
      </c>
      <c r="G56" s="1" t="s">
        <v>804</v>
      </c>
    </row>
    <row r="57" spans="1:7" ht="76.5" x14ac:dyDescent="0.2">
      <c r="A57" s="1" t="s">
        <v>402</v>
      </c>
      <c r="B57" s="1" t="s">
        <v>403</v>
      </c>
      <c r="C57" s="1" t="s">
        <v>403</v>
      </c>
      <c r="D57" s="2" t="s">
        <v>404</v>
      </c>
      <c r="E57" s="1">
        <v>1</v>
      </c>
      <c r="F57" s="1">
        <v>1</v>
      </c>
      <c r="G57" s="1" t="s">
        <v>804</v>
      </c>
    </row>
    <row r="58" spans="1:7" ht="89.25" x14ac:dyDescent="0.2">
      <c r="A58" s="1" t="s">
        <v>405</v>
      </c>
      <c r="B58" s="1" t="s">
        <v>406</v>
      </c>
      <c r="C58" s="1" t="s">
        <v>406</v>
      </c>
      <c r="D58" s="2" t="s">
        <v>407</v>
      </c>
      <c r="E58" s="1">
        <v>1</v>
      </c>
      <c r="F58" s="1" t="s">
        <v>15</v>
      </c>
      <c r="G58" s="1" t="s">
        <v>804</v>
      </c>
    </row>
    <row r="59" spans="1:7" ht="102" x14ac:dyDescent="0.2">
      <c r="A59" s="1" t="s">
        <v>408</v>
      </c>
      <c r="B59" s="1" t="s">
        <v>409</v>
      </c>
      <c r="C59" s="1" t="s">
        <v>409</v>
      </c>
      <c r="D59" s="2" t="s">
        <v>409</v>
      </c>
      <c r="E59" s="1">
        <v>1</v>
      </c>
      <c r="F59" s="1">
        <v>1</v>
      </c>
      <c r="G59" s="1" t="s">
        <v>804</v>
      </c>
    </row>
    <row r="60" spans="1:7" ht="89.25" x14ac:dyDescent="0.2">
      <c r="A60" s="1" t="s">
        <v>410</v>
      </c>
      <c r="B60" s="1" t="s">
        <v>411</v>
      </c>
      <c r="C60" s="1" t="s">
        <v>411</v>
      </c>
      <c r="D60" s="2" t="s">
        <v>412</v>
      </c>
      <c r="E60" s="1">
        <v>1</v>
      </c>
      <c r="F60" s="1">
        <v>1</v>
      </c>
      <c r="G60" s="1" t="s">
        <v>804</v>
      </c>
    </row>
    <row r="61" spans="1:7" ht="127.5" x14ac:dyDescent="0.2">
      <c r="A61" s="1" t="s">
        <v>413</v>
      </c>
      <c r="B61" s="1" t="s">
        <v>414</v>
      </c>
      <c r="C61" s="1" t="s">
        <v>414</v>
      </c>
      <c r="D61" s="2" t="s">
        <v>414</v>
      </c>
      <c r="E61" s="1">
        <v>1</v>
      </c>
      <c r="F61" s="1">
        <v>1</v>
      </c>
      <c r="G61" s="1" t="s">
        <v>804</v>
      </c>
    </row>
    <row r="62" spans="1:7" ht="15" customHeight="1" x14ac:dyDescent="0.2">
      <c r="D62" s="94" t="s">
        <v>837</v>
      </c>
      <c r="E62" s="92">
        <f>SUM(E2:E61)/60</f>
        <v>0.9</v>
      </c>
      <c r="F62" s="92">
        <f>SUM(F2:F61)/60</f>
        <v>0.8666666666666667</v>
      </c>
    </row>
    <row r="63" spans="1:7" ht="15" customHeight="1" x14ac:dyDescent="0.2">
      <c r="D63" s="27"/>
      <c r="E63" s="92" t="s">
        <v>824</v>
      </c>
      <c r="F63" s="92" t="s">
        <v>825</v>
      </c>
    </row>
    <row r="64" spans="1:7" ht="15" customHeight="1" x14ac:dyDescent="0.2">
      <c r="D64" s="94" t="s">
        <v>832</v>
      </c>
      <c r="E64" s="93" t="s">
        <v>872</v>
      </c>
      <c r="F64" s="93" t="s">
        <v>873</v>
      </c>
    </row>
    <row r="65" spans="4:6" ht="15" customHeight="1" x14ac:dyDescent="0.2">
      <c r="D65" s="94" t="s">
        <v>828</v>
      </c>
      <c r="E65" s="93" t="s">
        <v>875</v>
      </c>
      <c r="F65" s="93" t="s">
        <v>874</v>
      </c>
    </row>
    <row r="66" spans="4:6" x14ac:dyDescent="0.2">
      <c r="D66" s="94" t="s">
        <v>847</v>
      </c>
      <c r="E66" s="93" t="s">
        <v>876</v>
      </c>
      <c r="F66" s="93" t="s">
        <v>877</v>
      </c>
    </row>
    <row r="67" spans="4:6" ht="12.75" x14ac:dyDescent="0.2"/>
    <row r="68" spans="4:6" ht="12.75" x14ac:dyDescent="0.2"/>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951"/>
  <sheetViews>
    <sheetView topLeftCell="A230" zoomScale="115" zoomScaleNormal="115" workbookViewId="0">
      <selection activeCell="D8" sqref="D8"/>
    </sheetView>
  </sheetViews>
  <sheetFormatPr defaultColWidth="12.5703125" defaultRowHeight="15" customHeight="1" x14ac:dyDescent="0.2"/>
  <cols>
    <col min="1" max="1" width="21.140625" customWidth="1"/>
    <col min="2" max="2" width="14.7109375" customWidth="1"/>
    <col min="3" max="3" width="45.85546875" customWidth="1"/>
    <col min="4" max="5" width="17.140625" customWidth="1"/>
    <col min="6" max="6" width="16.85546875" customWidth="1"/>
    <col min="7" max="7" width="19.5703125" customWidth="1"/>
    <col min="8" max="11" width="7.5703125" customWidth="1"/>
    <col min="12" max="12" width="10.28515625" customWidth="1"/>
    <col min="13" max="13" width="22.42578125" customWidth="1"/>
    <col min="14" max="20" width="7.5703125" customWidth="1"/>
    <col min="21" max="21" width="19.28515625" customWidth="1"/>
    <col min="22" max="22" width="23.28515625" customWidth="1"/>
    <col min="23" max="25" width="7.5703125" customWidth="1"/>
  </cols>
  <sheetData>
    <row r="1" spans="1:13" ht="12.75" customHeight="1" x14ac:dyDescent="0.2">
      <c r="A1" s="68" t="s">
        <v>0</v>
      </c>
      <c r="B1" s="68" t="s">
        <v>824</v>
      </c>
      <c r="C1" s="68" t="s">
        <v>878</v>
      </c>
      <c r="D1" s="69" t="s">
        <v>823</v>
      </c>
      <c r="E1" s="68" t="s">
        <v>1</v>
      </c>
      <c r="F1" s="68" t="s">
        <v>2</v>
      </c>
      <c r="G1" s="68" t="s">
        <v>819</v>
      </c>
    </row>
    <row r="2" spans="1:13" ht="12.75" customHeight="1" x14ac:dyDescent="0.2">
      <c r="A2" s="1" t="s">
        <v>125</v>
      </c>
      <c r="B2" s="1" t="s">
        <v>126</v>
      </c>
      <c r="C2" s="1" t="s">
        <v>126</v>
      </c>
      <c r="D2" s="2" t="s">
        <v>127</v>
      </c>
      <c r="E2" s="1">
        <v>1</v>
      </c>
      <c r="F2" s="1" t="s">
        <v>15</v>
      </c>
      <c r="G2" s="1" t="s">
        <v>804</v>
      </c>
    </row>
    <row r="3" spans="1:13" ht="12.75" customHeight="1" x14ac:dyDescent="0.2">
      <c r="A3" s="1" t="s">
        <v>128</v>
      </c>
      <c r="B3" s="1" t="s">
        <v>129</v>
      </c>
      <c r="C3" s="1" t="s">
        <v>130</v>
      </c>
      <c r="D3" s="2" t="s">
        <v>129</v>
      </c>
      <c r="E3" s="1" t="s">
        <v>15</v>
      </c>
      <c r="F3" s="1" t="s">
        <v>15</v>
      </c>
      <c r="G3" s="1" t="s">
        <v>803</v>
      </c>
    </row>
    <row r="4" spans="1:13" ht="12.75" customHeight="1" thickBot="1" x14ac:dyDescent="0.25">
      <c r="A4" s="1" t="s">
        <v>131</v>
      </c>
      <c r="B4" s="1" t="s">
        <v>132</v>
      </c>
      <c r="C4" s="1" t="s">
        <v>132</v>
      </c>
      <c r="D4" s="2" t="s">
        <v>132</v>
      </c>
      <c r="E4" s="1">
        <v>1</v>
      </c>
      <c r="F4" s="1">
        <v>1</v>
      </c>
      <c r="G4" s="1" t="s">
        <v>804</v>
      </c>
      <c r="L4" s="10" t="s">
        <v>800</v>
      </c>
      <c r="M4" s="10" t="s">
        <v>801</v>
      </c>
    </row>
    <row r="5" spans="1:13" ht="12.75" customHeight="1" thickBot="1" x14ac:dyDescent="0.25">
      <c r="A5" s="1" t="s">
        <v>133</v>
      </c>
      <c r="B5" s="1" t="s">
        <v>134</v>
      </c>
      <c r="C5" s="1" t="s">
        <v>134</v>
      </c>
      <c r="D5" s="2" t="s">
        <v>134</v>
      </c>
      <c r="E5" s="1">
        <v>1</v>
      </c>
      <c r="F5" s="1">
        <v>1</v>
      </c>
      <c r="G5" s="1" t="s">
        <v>804</v>
      </c>
      <c r="L5" s="73" t="s">
        <v>802</v>
      </c>
      <c r="M5" s="74">
        <v>7</v>
      </c>
    </row>
    <row r="6" spans="1:13" ht="12.75" customHeight="1" thickBot="1" x14ac:dyDescent="0.25">
      <c r="A6" s="1" t="s">
        <v>135</v>
      </c>
      <c r="B6" s="1" t="s">
        <v>136</v>
      </c>
      <c r="C6" s="1" t="s">
        <v>136</v>
      </c>
      <c r="D6" s="2" t="s">
        <v>136</v>
      </c>
      <c r="E6" s="1">
        <v>1</v>
      </c>
      <c r="F6" s="1">
        <v>1</v>
      </c>
      <c r="G6" s="1" t="s">
        <v>804</v>
      </c>
      <c r="L6" s="73" t="s">
        <v>803</v>
      </c>
      <c r="M6" s="74">
        <v>32</v>
      </c>
    </row>
    <row r="7" spans="1:13" ht="12.75" customHeight="1" thickBot="1" x14ac:dyDescent="0.25">
      <c r="A7" s="1" t="s">
        <v>137</v>
      </c>
      <c r="B7" s="1" t="s">
        <v>138</v>
      </c>
      <c r="C7" s="1" t="s">
        <v>138</v>
      </c>
      <c r="D7" s="2" t="s">
        <v>139</v>
      </c>
      <c r="E7" s="1">
        <v>1</v>
      </c>
      <c r="F7" s="1">
        <v>1</v>
      </c>
      <c r="G7" s="1" t="s">
        <v>804</v>
      </c>
      <c r="L7" s="77" t="s">
        <v>807</v>
      </c>
      <c r="M7" s="78">
        <v>3</v>
      </c>
    </row>
    <row r="8" spans="1:13" ht="12.75" customHeight="1" thickBot="1" x14ac:dyDescent="0.25">
      <c r="A8" s="1" t="s">
        <v>140</v>
      </c>
      <c r="B8" s="1" t="s">
        <v>141</v>
      </c>
      <c r="C8" s="1" t="s">
        <v>142</v>
      </c>
      <c r="D8" s="2" t="s">
        <v>141</v>
      </c>
      <c r="E8" s="1" t="s">
        <v>15</v>
      </c>
      <c r="F8" s="1" t="s">
        <v>15</v>
      </c>
      <c r="G8" s="1" t="s">
        <v>803</v>
      </c>
      <c r="L8" s="77" t="s">
        <v>808</v>
      </c>
      <c r="M8" s="78">
        <v>1</v>
      </c>
    </row>
    <row r="9" spans="1:13" ht="12.75" customHeight="1" thickBot="1" x14ac:dyDescent="0.25">
      <c r="A9" s="1" t="s">
        <v>143</v>
      </c>
      <c r="B9" s="1" t="s">
        <v>144</v>
      </c>
      <c r="C9" s="1" t="s">
        <v>144</v>
      </c>
      <c r="D9" s="2" t="s">
        <v>145</v>
      </c>
      <c r="E9" s="1" t="s">
        <v>15</v>
      </c>
      <c r="F9" s="1" t="s">
        <v>23</v>
      </c>
      <c r="G9" s="1" t="s">
        <v>804</v>
      </c>
      <c r="L9" s="73" t="s">
        <v>810</v>
      </c>
      <c r="M9" s="74">
        <v>2</v>
      </c>
    </row>
    <row r="10" spans="1:13" ht="12.75" customHeight="1" thickBot="1" x14ac:dyDescent="0.25">
      <c r="A10" s="1" t="s">
        <v>146</v>
      </c>
      <c r="B10" s="1" t="s">
        <v>147</v>
      </c>
      <c r="C10" s="1" t="s">
        <v>148</v>
      </c>
      <c r="D10" s="2" t="s">
        <v>149</v>
      </c>
      <c r="E10" s="1">
        <v>1</v>
      </c>
      <c r="F10" s="1" t="s">
        <v>15</v>
      </c>
      <c r="G10" s="1" t="s">
        <v>803</v>
      </c>
      <c r="L10" s="12" t="s">
        <v>811</v>
      </c>
      <c r="M10" s="5">
        <v>215</v>
      </c>
    </row>
    <row r="11" spans="1:13" ht="12.75" customHeight="1" x14ac:dyDescent="0.2">
      <c r="A11" s="1" t="s">
        <v>150</v>
      </c>
      <c r="B11" s="1" t="s">
        <v>151</v>
      </c>
      <c r="C11" s="1" t="s">
        <v>151</v>
      </c>
      <c r="D11" s="2" t="s">
        <v>151</v>
      </c>
      <c r="E11" s="1">
        <v>1</v>
      </c>
      <c r="F11" s="1">
        <v>1</v>
      </c>
      <c r="G11" s="1" t="s">
        <v>804</v>
      </c>
      <c r="L11" s="75" t="s">
        <v>806</v>
      </c>
      <c r="M11" s="76">
        <v>2</v>
      </c>
    </row>
    <row r="12" spans="1:13" ht="12.75" customHeight="1" x14ac:dyDescent="0.2">
      <c r="A12" s="1" t="s">
        <v>152</v>
      </c>
      <c r="B12" s="1" t="s">
        <v>153</v>
      </c>
      <c r="C12" s="1" t="s">
        <v>153</v>
      </c>
      <c r="D12" s="2" t="s">
        <v>153</v>
      </c>
      <c r="E12" s="1">
        <v>1</v>
      </c>
      <c r="F12" s="1">
        <v>1</v>
      </c>
      <c r="G12" s="1" t="s">
        <v>804</v>
      </c>
      <c r="L12" s="18" t="s">
        <v>814</v>
      </c>
      <c r="M12" s="19">
        <v>258</v>
      </c>
    </row>
    <row r="13" spans="1:13" ht="12.75" customHeight="1" x14ac:dyDescent="0.2">
      <c r="A13" s="1" t="s">
        <v>154</v>
      </c>
      <c r="B13" s="1" t="s">
        <v>155</v>
      </c>
      <c r="C13" s="1" t="s">
        <v>156</v>
      </c>
      <c r="D13" s="2" t="s">
        <v>157</v>
      </c>
      <c r="E13" s="1">
        <v>1</v>
      </c>
      <c r="F13" s="1">
        <v>1</v>
      </c>
      <c r="G13" s="1" t="s">
        <v>803</v>
      </c>
    </row>
    <row r="14" spans="1:13" ht="12.75" customHeight="1" x14ac:dyDescent="0.2">
      <c r="A14" s="1" t="s">
        <v>158</v>
      </c>
      <c r="B14" s="1" t="s">
        <v>159</v>
      </c>
      <c r="C14" s="1" t="s">
        <v>160</v>
      </c>
      <c r="D14" s="2" t="s">
        <v>161</v>
      </c>
      <c r="E14" s="1">
        <v>1</v>
      </c>
      <c r="F14" s="1" t="s">
        <v>162</v>
      </c>
      <c r="G14" s="1" t="s">
        <v>803</v>
      </c>
      <c r="L14" s="72"/>
    </row>
    <row r="15" spans="1:13" ht="12.75" customHeight="1" x14ac:dyDescent="0.2">
      <c r="A15" s="1" t="s">
        <v>163</v>
      </c>
      <c r="B15" s="1" t="s">
        <v>164</v>
      </c>
      <c r="C15" s="1" t="s">
        <v>165</v>
      </c>
      <c r="D15" s="2" t="s">
        <v>166</v>
      </c>
      <c r="E15" s="1">
        <v>1</v>
      </c>
      <c r="F15" s="1" t="s">
        <v>162</v>
      </c>
      <c r="G15" s="1" t="s">
        <v>803</v>
      </c>
    </row>
    <row r="16" spans="1:13" ht="12.75" customHeight="1" x14ac:dyDescent="0.2">
      <c r="A16" s="1" t="s">
        <v>167</v>
      </c>
      <c r="B16" s="1" t="s">
        <v>168</v>
      </c>
      <c r="C16" s="1" t="s">
        <v>168</v>
      </c>
      <c r="D16" s="2" t="s">
        <v>168</v>
      </c>
      <c r="E16" s="1">
        <v>1</v>
      </c>
      <c r="F16" s="1">
        <v>1</v>
      </c>
      <c r="G16" s="1" t="s">
        <v>804</v>
      </c>
    </row>
    <row r="17" spans="1:7" ht="12.75" customHeight="1" x14ac:dyDescent="0.2">
      <c r="A17" s="1" t="s">
        <v>169</v>
      </c>
      <c r="B17" s="1" t="s">
        <v>170</v>
      </c>
      <c r="C17" s="1" t="s">
        <v>171</v>
      </c>
      <c r="D17" s="2" t="s">
        <v>172</v>
      </c>
      <c r="E17" s="1" t="s">
        <v>15</v>
      </c>
      <c r="F17" s="1" t="s">
        <v>23</v>
      </c>
      <c r="G17" s="1" t="s">
        <v>803</v>
      </c>
    </row>
    <row r="18" spans="1:7" ht="12.75" customHeight="1" x14ac:dyDescent="0.2">
      <c r="A18" s="1" t="s">
        <v>173</v>
      </c>
      <c r="B18" s="1" t="s">
        <v>174</v>
      </c>
      <c r="C18" s="1" t="s">
        <v>174</v>
      </c>
      <c r="D18" s="2" t="s">
        <v>174</v>
      </c>
      <c r="E18" s="1">
        <v>1</v>
      </c>
      <c r="F18" s="1">
        <v>1</v>
      </c>
      <c r="G18" s="1" t="s">
        <v>804</v>
      </c>
    </row>
    <row r="19" spans="1:7" ht="12.75" customHeight="1" x14ac:dyDescent="0.2">
      <c r="A19" s="1" t="s">
        <v>175</v>
      </c>
      <c r="B19" s="1" t="s">
        <v>176</v>
      </c>
      <c r="C19" s="1" t="s">
        <v>176</v>
      </c>
      <c r="D19" s="2" t="s">
        <v>177</v>
      </c>
      <c r="E19" s="1">
        <v>1</v>
      </c>
      <c r="F19" s="1" t="s">
        <v>15</v>
      </c>
      <c r="G19" s="1" t="s">
        <v>804</v>
      </c>
    </row>
    <row r="20" spans="1:7" ht="12.75" customHeight="1" x14ac:dyDescent="0.2">
      <c r="A20" s="1" t="s">
        <v>178</v>
      </c>
      <c r="B20" s="1" t="s">
        <v>179</v>
      </c>
      <c r="C20" s="1" t="s">
        <v>179</v>
      </c>
      <c r="D20" s="2" t="s">
        <v>180</v>
      </c>
      <c r="E20" s="1">
        <v>1</v>
      </c>
      <c r="F20" s="1">
        <v>1</v>
      </c>
      <c r="G20" s="1" t="s">
        <v>804</v>
      </c>
    </row>
    <row r="21" spans="1:7" ht="12.75" customHeight="1" x14ac:dyDescent="0.2">
      <c r="A21" s="1" t="s">
        <v>181</v>
      </c>
      <c r="B21" s="1" t="s">
        <v>182</v>
      </c>
      <c r="C21" s="1" t="s">
        <v>182</v>
      </c>
      <c r="D21" s="2" t="s">
        <v>182</v>
      </c>
      <c r="E21" s="1">
        <v>1</v>
      </c>
      <c r="F21" s="1">
        <v>1</v>
      </c>
      <c r="G21" s="1" t="s">
        <v>804</v>
      </c>
    </row>
    <row r="22" spans="1:7" ht="12.75" customHeight="1" x14ac:dyDescent="0.2">
      <c r="A22" s="1" t="s">
        <v>183</v>
      </c>
      <c r="B22" s="1" t="s">
        <v>184</v>
      </c>
      <c r="C22" s="1" t="s">
        <v>184</v>
      </c>
      <c r="D22" s="2" t="s">
        <v>185</v>
      </c>
      <c r="E22" s="1">
        <v>1</v>
      </c>
      <c r="F22" s="1">
        <v>1</v>
      </c>
      <c r="G22" s="1" t="s">
        <v>804</v>
      </c>
    </row>
    <row r="23" spans="1:7" ht="12.75" customHeight="1" x14ac:dyDescent="0.2">
      <c r="A23" s="1" t="s">
        <v>186</v>
      </c>
      <c r="B23" s="1" t="s">
        <v>187</v>
      </c>
      <c r="C23" s="1" t="s">
        <v>188</v>
      </c>
      <c r="D23" s="2" t="s">
        <v>189</v>
      </c>
      <c r="E23" s="1" t="s">
        <v>15</v>
      </c>
      <c r="F23" s="1" t="s">
        <v>15</v>
      </c>
      <c r="G23" s="1" t="s">
        <v>803</v>
      </c>
    </row>
    <row r="24" spans="1:7" ht="12.75" customHeight="1" x14ac:dyDescent="0.2">
      <c r="A24" s="1" t="s">
        <v>190</v>
      </c>
      <c r="B24" s="1" t="s">
        <v>191</v>
      </c>
      <c r="C24" s="1" t="s">
        <v>191</v>
      </c>
      <c r="D24" s="2" t="s">
        <v>192</v>
      </c>
      <c r="E24" s="1">
        <v>1</v>
      </c>
      <c r="F24" s="1">
        <v>1</v>
      </c>
      <c r="G24" s="1" t="s">
        <v>804</v>
      </c>
    </row>
    <row r="25" spans="1:7" ht="12.75" customHeight="1" x14ac:dyDescent="0.2">
      <c r="A25" s="1" t="s">
        <v>193</v>
      </c>
      <c r="B25" s="1" t="s">
        <v>194</v>
      </c>
      <c r="C25" s="1" t="s">
        <v>194</v>
      </c>
      <c r="D25" s="2" t="s">
        <v>195</v>
      </c>
      <c r="E25" s="1" t="s">
        <v>15</v>
      </c>
      <c r="F25" s="1">
        <v>1</v>
      </c>
      <c r="G25" s="1" t="s">
        <v>804</v>
      </c>
    </row>
    <row r="26" spans="1:7" ht="12.75" customHeight="1" x14ac:dyDescent="0.2">
      <c r="A26" s="1" t="s">
        <v>196</v>
      </c>
      <c r="B26" s="1" t="s">
        <v>197</v>
      </c>
      <c r="C26" s="1" t="s">
        <v>197</v>
      </c>
      <c r="D26" s="2" t="s">
        <v>197</v>
      </c>
      <c r="E26" s="1">
        <v>1</v>
      </c>
      <c r="F26" s="1">
        <v>1</v>
      </c>
      <c r="G26" s="1" t="s">
        <v>804</v>
      </c>
    </row>
    <row r="27" spans="1:7" ht="12.75" customHeight="1" x14ac:dyDescent="0.2">
      <c r="A27" s="1" t="s">
        <v>198</v>
      </c>
      <c r="B27" s="1" t="s">
        <v>199</v>
      </c>
      <c r="C27" s="1" t="s">
        <v>199</v>
      </c>
      <c r="D27" s="2" t="s">
        <v>199</v>
      </c>
      <c r="E27" s="1">
        <v>1</v>
      </c>
      <c r="F27" s="1">
        <v>1</v>
      </c>
      <c r="G27" s="1" t="s">
        <v>804</v>
      </c>
    </row>
    <row r="28" spans="1:7" ht="12.75" customHeight="1" x14ac:dyDescent="0.2">
      <c r="A28" s="1" t="s">
        <v>200</v>
      </c>
      <c r="B28" s="1" t="s">
        <v>201</v>
      </c>
      <c r="C28" s="1" t="s">
        <v>202</v>
      </c>
      <c r="D28" s="2" t="s">
        <v>201</v>
      </c>
      <c r="E28" s="1" t="s">
        <v>15</v>
      </c>
      <c r="F28" s="1" t="s">
        <v>15</v>
      </c>
      <c r="G28" s="1" t="s">
        <v>803</v>
      </c>
    </row>
    <row r="29" spans="1:7" ht="12.75" customHeight="1" x14ac:dyDescent="0.2">
      <c r="A29" s="1" t="s">
        <v>203</v>
      </c>
      <c r="B29" s="1" t="s">
        <v>204</v>
      </c>
      <c r="C29" s="1" t="s">
        <v>204</v>
      </c>
      <c r="D29" s="2" t="s">
        <v>205</v>
      </c>
      <c r="E29" s="1">
        <v>1</v>
      </c>
      <c r="F29" s="1">
        <v>1</v>
      </c>
      <c r="G29" s="1" t="s">
        <v>804</v>
      </c>
    </row>
    <row r="30" spans="1:7" ht="12.75" customHeight="1" x14ac:dyDescent="0.2">
      <c r="A30" s="1" t="s">
        <v>206</v>
      </c>
      <c r="B30" s="1" t="s">
        <v>207</v>
      </c>
      <c r="C30" s="1" t="s">
        <v>207</v>
      </c>
      <c r="D30" s="2" t="s">
        <v>207</v>
      </c>
      <c r="E30" s="1">
        <v>1</v>
      </c>
      <c r="F30" s="1">
        <v>1</v>
      </c>
      <c r="G30" s="1" t="s">
        <v>804</v>
      </c>
    </row>
    <row r="31" spans="1:7" ht="12.75" customHeight="1" x14ac:dyDescent="0.2">
      <c r="A31" s="1" t="s">
        <v>208</v>
      </c>
      <c r="B31" s="1" t="s">
        <v>209</v>
      </c>
      <c r="C31" s="1" t="s">
        <v>209</v>
      </c>
      <c r="D31" s="2" t="s">
        <v>209</v>
      </c>
      <c r="E31" s="1">
        <v>1</v>
      </c>
      <c r="F31" s="1">
        <v>1</v>
      </c>
      <c r="G31" s="1" t="s">
        <v>804</v>
      </c>
    </row>
    <row r="32" spans="1:7" ht="12.75" customHeight="1" x14ac:dyDescent="0.2">
      <c r="A32" s="1" t="s">
        <v>210</v>
      </c>
      <c r="B32" s="1" t="s">
        <v>211</v>
      </c>
      <c r="C32" s="1" t="s">
        <v>211</v>
      </c>
      <c r="D32" s="2" t="s">
        <v>212</v>
      </c>
      <c r="E32" s="1">
        <v>1</v>
      </c>
      <c r="F32" s="1">
        <v>1</v>
      </c>
      <c r="G32" s="1" t="s">
        <v>804</v>
      </c>
    </row>
    <row r="33" spans="1:7" ht="12.75" customHeight="1" x14ac:dyDescent="0.2">
      <c r="A33" s="1" t="s">
        <v>213</v>
      </c>
      <c r="B33" s="1" t="s">
        <v>214</v>
      </c>
      <c r="C33" s="1" t="s">
        <v>214</v>
      </c>
      <c r="D33" s="2" t="s">
        <v>214</v>
      </c>
      <c r="E33" s="1">
        <v>1</v>
      </c>
      <c r="F33" s="1">
        <v>1</v>
      </c>
      <c r="G33" s="1" t="s">
        <v>804</v>
      </c>
    </row>
    <row r="34" spans="1:7" ht="12.75" customHeight="1" x14ac:dyDescent="0.2">
      <c r="A34" s="1" t="s">
        <v>215</v>
      </c>
      <c r="B34" s="1" t="s">
        <v>216</v>
      </c>
      <c r="C34" s="1" t="s">
        <v>216</v>
      </c>
      <c r="D34" s="2" t="s">
        <v>217</v>
      </c>
      <c r="E34" s="1">
        <v>1</v>
      </c>
      <c r="F34" s="1">
        <v>1</v>
      </c>
      <c r="G34" s="1" t="s">
        <v>804</v>
      </c>
    </row>
    <row r="35" spans="1:7" ht="12.75" customHeight="1" x14ac:dyDescent="0.2">
      <c r="A35" s="1" t="s">
        <v>218</v>
      </c>
      <c r="B35" s="1" t="s">
        <v>219</v>
      </c>
      <c r="C35" s="1" t="s">
        <v>219</v>
      </c>
      <c r="D35" s="2" t="s">
        <v>220</v>
      </c>
      <c r="E35" s="1">
        <v>1</v>
      </c>
      <c r="F35" s="1">
        <v>1</v>
      </c>
      <c r="G35" s="1" t="s">
        <v>804</v>
      </c>
    </row>
    <row r="36" spans="1:7" ht="12.75" customHeight="1" x14ac:dyDescent="0.2">
      <c r="A36" s="1" t="s">
        <v>221</v>
      </c>
      <c r="B36" s="1" t="s">
        <v>222</v>
      </c>
      <c r="C36" s="1" t="s">
        <v>222</v>
      </c>
      <c r="D36" s="2" t="s">
        <v>223</v>
      </c>
      <c r="E36" s="1">
        <v>1</v>
      </c>
      <c r="F36" s="1">
        <v>1</v>
      </c>
      <c r="G36" s="1" t="s">
        <v>804</v>
      </c>
    </row>
    <row r="37" spans="1:7" ht="12.75" customHeight="1" x14ac:dyDescent="0.2">
      <c r="A37" s="1" t="s">
        <v>224</v>
      </c>
      <c r="B37" s="1" t="s">
        <v>225</v>
      </c>
      <c r="C37" s="1" t="s">
        <v>226</v>
      </c>
      <c r="D37" s="2" t="s">
        <v>225</v>
      </c>
      <c r="E37" s="1" t="s">
        <v>15</v>
      </c>
      <c r="F37" s="1" t="s">
        <v>15</v>
      </c>
      <c r="G37" s="1" t="s">
        <v>803</v>
      </c>
    </row>
    <row r="38" spans="1:7" ht="12.75" customHeight="1" x14ac:dyDescent="0.2">
      <c r="A38" s="1" t="s">
        <v>227</v>
      </c>
      <c r="B38" s="1" t="s">
        <v>228</v>
      </c>
      <c r="C38" s="1" t="s">
        <v>228</v>
      </c>
      <c r="D38" s="2" t="s">
        <v>229</v>
      </c>
      <c r="E38" s="1">
        <v>1</v>
      </c>
      <c r="F38" s="1">
        <v>1</v>
      </c>
      <c r="G38" s="1" t="s">
        <v>804</v>
      </c>
    </row>
    <row r="39" spans="1:7" ht="12.75" customHeight="1" x14ac:dyDescent="0.2">
      <c r="A39" s="1" t="s">
        <v>230</v>
      </c>
      <c r="B39" s="1" t="s">
        <v>231</v>
      </c>
      <c r="C39" s="1" t="s">
        <v>231</v>
      </c>
      <c r="D39" s="2" t="s">
        <v>231</v>
      </c>
      <c r="E39" s="1">
        <v>1</v>
      </c>
      <c r="F39" s="1">
        <v>1</v>
      </c>
      <c r="G39" s="1" t="s">
        <v>804</v>
      </c>
    </row>
    <row r="40" spans="1:7" ht="12.75" customHeight="1" x14ac:dyDescent="0.2">
      <c r="A40" s="1" t="s">
        <v>232</v>
      </c>
      <c r="B40" s="1" t="s">
        <v>233</v>
      </c>
      <c r="C40" s="1" t="s">
        <v>233</v>
      </c>
      <c r="D40" s="2" t="s">
        <v>234</v>
      </c>
      <c r="E40" s="1">
        <v>1</v>
      </c>
      <c r="F40" s="1">
        <v>1</v>
      </c>
      <c r="G40" s="1" t="s">
        <v>804</v>
      </c>
    </row>
    <row r="41" spans="1:7" ht="12.75" customHeight="1" x14ac:dyDescent="0.2">
      <c r="A41" s="1" t="s">
        <v>235</v>
      </c>
      <c r="B41" s="1" t="s">
        <v>236</v>
      </c>
      <c r="C41" s="1" t="s">
        <v>236</v>
      </c>
      <c r="D41" s="2" t="s">
        <v>236</v>
      </c>
      <c r="E41" s="1">
        <v>1</v>
      </c>
      <c r="F41" s="1">
        <v>1</v>
      </c>
      <c r="G41" s="1" t="s">
        <v>804</v>
      </c>
    </row>
    <row r="42" spans="1:7" ht="12.75" customHeight="1" x14ac:dyDescent="0.2">
      <c r="A42" s="1" t="s">
        <v>237</v>
      </c>
      <c r="B42" s="1" t="s">
        <v>238</v>
      </c>
      <c r="C42" s="1" t="s">
        <v>238</v>
      </c>
      <c r="D42" s="2" t="s">
        <v>238</v>
      </c>
      <c r="E42" s="1">
        <v>1</v>
      </c>
      <c r="F42" s="1">
        <v>1</v>
      </c>
      <c r="G42" s="1" t="s">
        <v>804</v>
      </c>
    </row>
    <row r="43" spans="1:7" ht="12.75" customHeight="1" x14ac:dyDescent="0.2">
      <c r="A43" s="1" t="s">
        <v>239</v>
      </c>
      <c r="B43" s="1" t="s">
        <v>240</v>
      </c>
      <c r="C43" s="1" t="s">
        <v>240</v>
      </c>
      <c r="D43" s="2" t="s">
        <v>241</v>
      </c>
      <c r="E43" s="1">
        <v>1</v>
      </c>
      <c r="F43" s="1">
        <v>1</v>
      </c>
      <c r="G43" s="1" t="s">
        <v>804</v>
      </c>
    </row>
    <row r="44" spans="1:7" ht="12.75" customHeight="1" x14ac:dyDescent="0.2">
      <c r="A44" s="1" t="s">
        <v>242</v>
      </c>
      <c r="B44" s="1" t="s">
        <v>243</v>
      </c>
      <c r="C44" s="1" t="s">
        <v>243</v>
      </c>
      <c r="D44" s="2" t="s">
        <v>244</v>
      </c>
      <c r="E44" s="1" t="s">
        <v>15</v>
      </c>
      <c r="F44" s="1" t="s">
        <v>15</v>
      </c>
      <c r="G44" s="1" t="s">
        <v>804</v>
      </c>
    </row>
    <row r="45" spans="1:7" ht="12.75" customHeight="1" x14ac:dyDescent="0.2">
      <c r="A45" s="1" t="s">
        <v>245</v>
      </c>
      <c r="B45" s="1" t="s">
        <v>246</v>
      </c>
      <c r="C45" s="1" t="s">
        <v>246</v>
      </c>
      <c r="D45" s="2" t="s">
        <v>247</v>
      </c>
      <c r="E45" s="1" t="s">
        <v>15</v>
      </c>
      <c r="F45" s="1" t="s">
        <v>15</v>
      </c>
      <c r="G45" s="1" t="s">
        <v>804</v>
      </c>
    </row>
    <row r="46" spans="1:7" ht="12.75" customHeight="1" x14ac:dyDescent="0.2">
      <c r="A46" s="1" t="s">
        <v>248</v>
      </c>
      <c r="B46" s="1" t="s">
        <v>249</v>
      </c>
      <c r="C46" s="1" t="s">
        <v>249</v>
      </c>
      <c r="D46" s="2" t="s">
        <v>249</v>
      </c>
      <c r="E46" s="1">
        <v>1</v>
      </c>
      <c r="F46" s="1">
        <v>1</v>
      </c>
      <c r="G46" s="1" t="s">
        <v>804</v>
      </c>
    </row>
    <row r="47" spans="1:7" ht="12.75" customHeight="1" x14ac:dyDescent="0.2">
      <c r="A47" s="1" t="s">
        <v>250</v>
      </c>
      <c r="B47" s="1" t="s">
        <v>251</v>
      </c>
      <c r="C47" s="1" t="s">
        <v>251</v>
      </c>
      <c r="D47" s="2" t="s">
        <v>251</v>
      </c>
      <c r="E47" s="1">
        <v>1</v>
      </c>
      <c r="F47" s="1">
        <v>1</v>
      </c>
      <c r="G47" s="1" t="s">
        <v>804</v>
      </c>
    </row>
    <row r="48" spans="1:7" ht="12.75" customHeight="1" x14ac:dyDescent="0.2">
      <c r="A48" s="1" t="s">
        <v>252</v>
      </c>
      <c r="B48" s="1" t="s">
        <v>253</v>
      </c>
      <c r="C48" s="1" t="s">
        <v>253</v>
      </c>
      <c r="D48" s="2" t="s">
        <v>253</v>
      </c>
      <c r="E48" s="1">
        <v>1</v>
      </c>
      <c r="F48" s="1">
        <v>1</v>
      </c>
      <c r="G48" s="1" t="s">
        <v>804</v>
      </c>
    </row>
    <row r="49" spans="1:7" ht="12.75" customHeight="1" x14ac:dyDescent="0.2">
      <c r="A49" s="1" t="s">
        <v>254</v>
      </c>
      <c r="B49" s="1" t="s">
        <v>255</v>
      </c>
      <c r="C49" s="1" t="s">
        <v>255</v>
      </c>
      <c r="D49" s="2" t="s">
        <v>255</v>
      </c>
      <c r="E49" s="1">
        <v>1</v>
      </c>
      <c r="F49" s="1">
        <v>1</v>
      </c>
      <c r="G49" s="1" t="s">
        <v>804</v>
      </c>
    </row>
    <row r="50" spans="1:7" ht="12.75" customHeight="1" x14ac:dyDescent="0.2">
      <c r="A50" s="1" t="s">
        <v>256</v>
      </c>
      <c r="B50" s="1" t="s">
        <v>257</v>
      </c>
      <c r="C50" s="1" t="s">
        <v>257</v>
      </c>
      <c r="D50" s="2" t="s">
        <v>258</v>
      </c>
      <c r="E50" s="1" t="s">
        <v>15</v>
      </c>
      <c r="F50" s="1">
        <v>1</v>
      </c>
      <c r="G50" s="1" t="s">
        <v>804</v>
      </c>
    </row>
    <row r="51" spans="1:7" ht="12.75" customHeight="1" x14ac:dyDescent="0.2">
      <c r="A51" s="1" t="s">
        <v>529</v>
      </c>
      <c r="B51" s="1" t="s">
        <v>530</v>
      </c>
      <c r="C51" s="1" t="s">
        <v>530</v>
      </c>
      <c r="D51" s="2" t="s">
        <v>531</v>
      </c>
      <c r="E51" s="1">
        <v>1</v>
      </c>
      <c r="F51" s="1">
        <v>1</v>
      </c>
      <c r="G51" s="1" t="s">
        <v>804</v>
      </c>
    </row>
    <row r="52" spans="1:7" ht="12.75" customHeight="1" x14ac:dyDescent="0.2">
      <c r="A52" s="1" t="s">
        <v>532</v>
      </c>
      <c r="B52" s="1" t="s">
        <v>533</v>
      </c>
      <c r="C52" s="1" t="s">
        <v>533</v>
      </c>
      <c r="D52" s="2" t="s">
        <v>534</v>
      </c>
      <c r="E52" s="1">
        <v>1</v>
      </c>
      <c r="F52" s="1" t="s">
        <v>23</v>
      </c>
      <c r="G52" s="1" t="s">
        <v>804</v>
      </c>
    </row>
    <row r="53" spans="1:7" ht="12.75" customHeight="1" x14ac:dyDescent="0.2">
      <c r="A53" s="1" t="s">
        <v>535</v>
      </c>
      <c r="B53" s="1" t="s">
        <v>536</v>
      </c>
      <c r="C53" s="1" t="s">
        <v>536</v>
      </c>
      <c r="D53" s="2" t="s">
        <v>537</v>
      </c>
      <c r="E53" s="1">
        <v>1</v>
      </c>
      <c r="F53" s="1">
        <v>1</v>
      </c>
      <c r="G53" s="1" t="s">
        <v>804</v>
      </c>
    </row>
    <row r="54" spans="1:7" ht="12.75" customHeight="1" x14ac:dyDescent="0.2">
      <c r="A54" s="1" t="s">
        <v>538</v>
      </c>
      <c r="B54" s="1" t="s">
        <v>539</v>
      </c>
      <c r="C54" s="1" t="s">
        <v>539</v>
      </c>
      <c r="D54" s="2" t="s">
        <v>540</v>
      </c>
      <c r="E54" s="1" t="s">
        <v>23</v>
      </c>
      <c r="F54" s="1">
        <v>1</v>
      </c>
      <c r="G54" s="1" t="s">
        <v>804</v>
      </c>
    </row>
    <row r="55" spans="1:7" ht="12.75" customHeight="1" x14ac:dyDescent="0.2">
      <c r="A55" s="1" t="s">
        <v>541</v>
      </c>
      <c r="B55" s="1" t="s">
        <v>542</v>
      </c>
      <c r="C55" s="1" t="s">
        <v>542</v>
      </c>
      <c r="D55" s="2" t="s">
        <v>543</v>
      </c>
      <c r="E55" s="1">
        <v>1</v>
      </c>
      <c r="F55" s="1">
        <v>1</v>
      </c>
      <c r="G55" s="1" t="s">
        <v>804</v>
      </c>
    </row>
    <row r="56" spans="1:7" ht="12.75" customHeight="1" x14ac:dyDescent="0.2">
      <c r="A56" s="1" t="s">
        <v>544</v>
      </c>
      <c r="B56" s="1" t="s">
        <v>545</v>
      </c>
      <c r="C56" s="1" t="s">
        <v>545</v>
      </c>
      <c r="D56" s="2" t="s">
        <v>546</v>
      </c>
      <c r="E56" s="1">
        <v>1</v>
      </c>
      <c r="F56" s="1">
        <v>1</v>
      </c>
      <c r="G56" s="1" t="s">
        <v>804</v>
      </c>
    </row>
    <row r="57" spans="1:7" ht="12.75" customHeight="1" x14ac:dyDescent="0.2">
      <c r="A57" s="1" t="s">
        <v>547</v>
      </c>
      <c r="B57" s="1" t="s">
        <v>548</v>
      </c>
      <c r="C57" s="1" t="s">
        <v>548</v>
      </c>
      <c r="D57" s="2" t="s">
        <v>549</v>
      </c>
      <c r="E57" s="1">
        <v>1</v>
      </c>
      <c r="F57" s="1">
        <v>1</v>
      </c>
      <c r="G57" s="1" t="s">
        <v>804</v>
      </c>
    </row>
    <row r="58" spans="1:7" ht="12.75" customHeight="1" x14ac:dyDescent="0.2">
      <c r="A58" s="1" t="s">
        <v>550</v>
      </c>
      <c r="B58" s="1" t="s">
        <v>551</v>
      </c>
      <c r="C58" s="1" t="s">
        <v>551</v>
      </c>
      <c r="D58" s="2" t="s">
        <v>552</v>
      </c>
      <c r="E58" s="1">
        <v>1</v>
      </c>
      <c r="F58" s="1">
        <v>1</v>
      </c>
      <c r="G58" s="1" t="s">
        <v>804</v>
      </c>
    </row>
    <row r="59" spans="1:7" ht="12.75" customHeight="1" x14ac:dyDescent="0.2">
      <c r="A59" s="1" t="s">
        <v>553</v>
      </c>
      <c r="B59" s="1" t="s">
        <v>554</v>
      </c>
      <c r="C59" s="1" t="s">
        <v>555</v>
      </c>
      <c r="D59" s="2" t="s">
        <v>556</v>
      </c>
      <c r="E59" s="1">
        <v>1</v>
      </c>
      <c r="F59" s="1">
        <v>1</v>
      </c>
      <c r="G59" s="1" t="s">
        <v>818</v>
      </c>
    </row>
    <row r="60" spans="1:7" ht="12.75" customHeight="1" x14ac:dyDescent="0.2">
      <c r="A60" s="1" t="s">
        <v>557</v>
      </c>
      <c r="B60" s="1" t="s">
        <v>558</v>
      </c>
      <c r="C60" s="1" t="s">
        <v>559</v>
      </c>
      <c r="D60" s="2" t="s">
        <v>560</v>
      </c>
      <c r="E60" s="1" t="s">
        <v>493</v>
      </c>
      <c r="F60" s="1" t="s">
        <v>493</v>
      </c>
      <c r="G60" s="1" t="s">
        <v>803</v>
      </c>
    </row>
    <row r="61" spans="1:7" ht="12.75" customHeight="1" x14ac:dyDescent="0.2">
      <c r="A61" s="1" t="s">
        <v>561</v>
      </c>
      <c r="B61" s="1" t="s">
        <v>562</v>
      </c>
      <c r="C61" s="1" t="s">
        <v>562</v>
      </c>
      <c r="D61" s="2" t="s">
        <v>563</v>
      </c>
      <c r="E61" s="1" t="s">
        <v>15</v>
      </c>
      <c r="F61" s="1">
        <v>1</v>
      </c>
      <c r="G61" s="1" t="s">
        <v>804</v>
      </c>
    </row>
    <row r="62" spans="1:7" ht="12.75" customHeight="1" x14ac:dyDescent="0.2">
      <c r="A62" s="1" t="s">
        <v>564</v>
      </c>
      <c r="B62" s="1" t="s">
        <v>565</v>
      </c>
      <c r="C62" s="1" t="s">
        <v>565</v>
      </c>
      <c r="D62" s="2" t="s">
        <v>566</v>
      </c>
      <c r="E62" s="1">
        <v>1</v>
      </c>
      <c r="F62" s="1" t="s">
        <v>6</v>
      </c>
      <c r="G62" s="1" t="s">
        <v>804</v>
      </c>
    </row>
    <row r="63" spans="1:7" ht="12.75" customHeight="1" x14ac:dyDescent="0.2">
      <c r="A63" s="1" t="s">
        <v>567</v>
      </c>
      <c r="B63" s="1" t="s">
        <v>568</v>
      </c>
      <c r="C63" s="1" t="s">
        <v>568</v>
      </c>
      <c r="D63" s="2" t="s">
        <v>569</v>
      </c>
      <c r="E63" s="1">
        <v>1</v>
      </c>
      <c r="F63" s="1" t="s">
        <v>6</v>
      </c>
      <c r="G63" s="1" t="s">
        <v>804</v>
      </c>
    </row>
    <row r="64" spans="1:7" ht="12.75" customHeight="1" x14ac:dyDescent="0.2">
      <c r="A64" s="1" t="s">
        <v>570</v>
      </c>
      <c r="B64" s="1" t="s">
        <v>571</v>
      </c>
      <c r="C64" s="1" t="s">
        <v>571</v>
      </c>
      <c r="D64" s="2" t="s">
        <v>572</v>
      </c>
      <c r="E64" s="1">
        <v>1</v>
      </c>
      <c r="F64" s="1" t="s">
        <v>15</v>
      </c>
      <c r="G64" s="1" t="s">
        <v>804</v>
      </c>
    </row>
    <row r="65" spans="1:7" ht="12.75" customHeight="1" x14ac:dyDescent="0.2">
      <c r="A65" s="1" t="s">
        <v>573</v>
      </c>
      <c r="B65" s="1" t="s">
        <v>574</v>
      </c>
      <c r="C65" s="1" t="s">
        <v>574</v>
      </c>
      <c r="D65" s="2" t="s">
        <v>575</v>
      </c>
      <c r="E65" s="1">
        <v>1</v>
      </c>
      <c r="F65" s="1" t="s">
        <v>23</v>
      </c>
      <c r="G65" s="1" t="s">
        <v>804</v>
      </c>
    </row>
    <row r="66" spans="1:7" ht="12.75" customHeight="1" x14ac:dyDescent="0.2">
      <c r="A66" s="1" t="s">
        <v>576</v>
      </c>
      <c r="B66" s="1" t="s">
        <v>577</v>
      </c>
      <c r="C66" s="1" t="s">
        <v>577</v>
      </c>
      <c r="D66" s="2" t="s">
        <v>578</v>
      </c>
      <c r="E66" s="1">
        <v>1</v>
      </c>
      <c r="F66" s="1">
        <v>1</v>
      </c>
      <c r="G66" s="1" t="s">
        <v>804</v>
      </c>
    </row>
    <row r="67" spans="1:7" ht="12.75" customHeight="1" x14ac:dyDescent="0.2">
      <c r="A67" s="1" t="s">
        <v>579</v>
      </c>
      <c r="B67" s="1" t="s">
        <v>580</v>
      </c>
      <c r="C67" s="1" t="s">
        <v>580</v>
      </c>
      <c r="D67" s="2" t="s">
        <v>581</v>
      </c>
      <c r="E67" s="1">
        <v>1</v>
      </c>
      <c r="F67" s="1">
        <v>1</v>
      </c>
      <c r="G67" s="1" t="s">
        <v>804</v>
      </c>
    </row>
    <row r="68" spans="1:7" ht="12.75" customHeight="1" x14ac:dyDescent="0.2">
      <c r="A68" s="1" t="s">
        <v>582</v>
      </c>
      <c r="B68" s="1" t="s">
        <v>583</v>
      </c>
      <c r="C68" s="1" t="s">
        <v>583</v>
      </c>
      <c r="D68" s="2" t="s">
        <v>584</v>
      </c>
      <c r="E68" s="1">
        <v>1</v>
      </c>
      <c r="F68" s="1">
        <v>1</v>
      </c>
      <c r="G68" s="1" t="s">
        <v>804</v>
      </c>
    </row>
    <row r="69" spans="1:7" ht="12.75" customHeight="1" x14ac:dyDescent="0.2">
      <c r="A69" s="1" t="s">
        <v>585</v>
      </c>
      <c r="B69" s="1" t="s">
        <v>586</v>
      </c>
      <c r="C69" s="1" t="s">
        <v>586</v>
      </c>
      <c r="D69" s="2" t="s">
        <v>587</v>
      </c>
      <c r="E69" s="1">
        <v>1</v>
      </c>
      <c r="F69" s="1">
        <v>1</v>
      </c>
      <c r="G69" s="1" t="s">
        <v>804</v>
      </c>
    </row>
    <row r="70" spans="1:7" ht="12.75" customHeight="1" x14ac:dyDescent="0.2">
      <c r="A70" s="1" t="s">
        <v>588</v>
      </c>
      <c r="B70" s="1" t="s">
        <v>589</v>
      </c>
      <c r="C70" s="1" t="s">
        <v>589</v>
      </c>
      <c r="D70" s="2" t="s">
        <v>590</v>
      </c>
      <c r="E70" s="1">
        <v>1</v>
      </c>
      <c r="F70" s="1">
        <v>1</v>
      </c>
      <c r="G70" s="1" t="s">
        <v>804</v>
      </c>
    </row>
    <row r="71" spans="1:7" ht="12.75" customHeight="1" x14ac:dyDescent="0.2">
      <c r="A71" s="1" t="s">
        <v>591</v>
      </c>
      <c r="B71" s="1" t="s">
        <v>592</v>
      </c>
      <c r="C71" s="1" t="s">
        <v>592</v>
      </c>
      <c r="D71" s="2" t="s">
        <v>593</v>
      </c>
      <c r="E71" s="1">
        <v>1</v>
      </c>
      <c r="F71" s="1">
        <v>1</v>
      </c>
      <c r="G71" s="1" t="s">
        <v>804</v>
      </c>
    </row>
    <row r="72" spans="1:7" ht="12.75" customHeight="1" x14ac:dyDescent="0.2">
      <c r="A72" s="1" t="s">
        <v>594</v>
      </c>
      <c r="B72" s="1" t="s">
        <v>595</v>
      </c>
      <c r="C72" s="1" t="s">
        <v>595</v>
      </c>
      <c r="D72" s="2" t="s">
        <v>596</v>
      </c>
      <c r="E72" s="1" t="s">
        <v>15</v>
      </c>
      <c r="F72" s="1" t="s">
        <v>15</v>
      </c>
      <c r="G72" s="1" t="s">
        <v>804</v>
      </c>
    </row>
    <row r="73" spans="1:7" ht="12.75" customHeight="1" x14ac:dyDescent="0.2">
      <c r="A73" s="1" t="s">
        <v>597</v>
      </c>
      <c r="B73" s="1" t="s">
        <v>598</v>
      </c>
      <c r="C73" s="1" t="s">
        <v>598</v>
      </c>
      <c r="D73" s="2" t="s">
        <v>599</v>
      </c>
      <c r="E73" s="1">
        <v>1</v>
      </c>
      <c r="F73" s="1">
        <v>1</v>
      </c>
      <c r="G73" s="1" t="s">
        <v>804</v>
      </c>
    </row>
    <row r="74" spans="1:7" ht="12.75" customHeight="1" x14ac:dyDescent="0.2">
      <c r="A74" s="1" t="s">
        <v>600</v>
      </c>
      <c r="B74" s="1" t="s">
        <v>601</v>
      </c>
      <c r="C74" s="1" t="s">
        <v>602</v>
      </c>
      <c r="D74" s="2" t="s">
        <v>603</v>
      </c>
      <c r="E74" s="1" t="s">
        <v>15</v>
      </c>
      <c r="F74" s="1" t="s">
        <v>6</v>
      </c>
      <c r="G74" s="1" t="s">
        <v>803</v>
      </c>
    </row>
    <row r="75" spans="1:7" ht="12.75" customHeight="1" x14ac:dyDescent="0.2">
      <c r="A75" s="1" t="s">
        <v>604</v>
      </c>
      <c r="B75" s="1" t="s">
        <v>605</v>
      </c>
      <c r="C75" s="1" t="s">
        <v>605</v>
      </c>
      <c r="D75" s="2" t="s">
        <v>605</v>
      </c>
      <c r="E75" s="1">
        <v>1</v>
      </c>
      <c r="F75" s="1">
        <v>1</v>
      </c>
      <c r="G75" s="1" t="s">
        <v>804</v>
      </c>
    </row>
    <row r="76" spans="1:7" ht="12.75" customHeight="1" x14ac:dyDescent="0.2">
      <c r="A76" s="1" t="s">
        <v>606</v>
      </c>
      <c r="B76" s="1" t="s">
        <v>607</v>
      </c>
      <c r="C76" s="1" t="s">
        <v>607</v>
      </c>
      <c r="D76" s="2" t="s">
        <v>608</v>
      </c>
      <c r="E76" s="1">
        <v>1</v>
      </c>
      <c r="F76" s="1">
        <v>1</v>
      </c>
      <c r="G76" s="1" t="s">
        <v>804</v>
      </c>
    </row>
    <row r="77" spans="1:7" ht="12.75" customHeight="1" x14ac:dyDescent="0.2">
      <c r="A77" s="1" t="s">
        <v>609</v>
      </c>
      <c r="B77" s="1" t="s">
        <v>610</v>
      </c>
      <c r="C77" s="1" t="s">
        <v>610</v>
      </c>
      <c r="D77" s="2" t="s">
        <v>611</v>
      </c>
      <c r="E77" s="1" t="s">
        <v>15</v>
      </c>
      <c r="F77" s="1" t="s">
        <v>15</v>
      </c>
      <c r="G77" s="1" t="s">
        <v>804</v>
      </c>
    </row>
    <row r="78" spans="1:7" ht="12.75" customHeight="1" x14ac:dyDescent="0.2">
      <c r="A78" s="1" t="s">
        <v>612</v>
      </c>
      <c r="B78" s="1" t="s">
        <v>613</v>
      </c>
      <c r="C78" s="1" t="s">
        <v>613</v>
      </c>
      <c r="D78" s="2" t="s">
        <v>614</v>
      </c>
      <c r="E78" s="1">
        <v>1</v>
      </c>
      <c r="F78" s="1">
        <v>1</v>
      </c>
      <c r="G78" s="1" t="s">
        <v>804</v>
      </c>
    </row>
    <row r="79" spans="1:7" ht="12.75" customHeight="1" x14ac:dyDescent="0.2">
      <c r="A79" s="1" t="s">
        <v>615</v>
      </c>
      <c r="B79" s="1" t="s">
        <v>616</v>
      </c>
      <c r="C79" s="1" t="s">
        <v>616</v>
      </c>
      <c r="D79" s="2" t="s">
        <v>616</v>
      </c>
      <c r="E79" s="1">
        <v>1</v>
      </c>
      <c r="F79" s="1">
        <v>1</v>
      </c>
      <c r="G79" s="1" t="s">
        <v>804</v>
      </c>
    </row>
    <row r="80" spans="1:7" ht="12.75" customHeight="1" x14ac:dyDescent="0.2">
      <c r="A80" s="1" t="s">
        <v>617</v>
      </c>
      <c r="B80" s="1" t="s">
        <v>618</v>
      </c>
      <c r="C80" s="1" t="s">
        <v>618</v>
      </c>
      <c r="D80" s="2" t="s">
        <v>619</v>
      </c>
      <c r="E80" s="1">
        <v>1</v>
      </c>
      <c r="F80" s="1">
        <v>1</v>
      </c>
      <c r="G80" s="1" t="s">
        <v>804</v>
      </c>
    </row>
    <row r="81" spans="1:7" ht="12.75" customHeight="1" x14ac:dyDescent="0.2">
      <c r="A81" s="1" t="s">
        <v>620</v>
      </c>
      <c r="B81" s="1" t="s">
        <v>621</v>
      </c>
      <c r="C81" s="1" t="s">
        <v>621</v>
      </c>
      <c r="D81" s="2" t="s">
        <v>622</v>
      </c>
      <c r="E81" s="1">
        <v>1</v>
      </c>
      <c r="F81" s="1">
        <v>1</v>
      </c>
      <c r="G81" s="1" t="s">
        <v>804</v>
      </c>
    </row>
    <row r="82" spans="1:7" ht="12.75" customHeight="1" x14ac:dyDescent="0.2">
      <c r="A82" s="1" t="s">
        <v>623</v>
      </c>
      <c r="B82" s="1" t="s">
        <v>624</v>
      </c>
      <c r="C82" s="1" t="s">
        <v>624</v>
      </c>
      <c r="D82" s="2" t="s">
        <v>625</v>
      </c>
      <c r="E82" s="1">
        <v>1</v>
      </c>
      <c r="F82" s="1">
        <v>1</v>
      </c>
      <c r="G82" s="1" t="s">
        <v>804</v>
      </c>
    </row>
    <row r="83" spans="1:7" ht="12.75" customHeight="1" x14ac:dyDescent="0.2">
      <c r="A83" s="1" t="s">
        <v>626</v>
      </c>
      <c r="B83" s="1" t="s">
        <v>627</v>
      </c>
      <c r="C83" s="1" t="s">
        <v>627</v>
      </c>
      <c r="D83" s="2" t="s">
        <v>628</v>
      </c>
      <c r="E83" s="1">
        <v>1</v>
      </c>
      <c r="F83" s="1">
        <v>1</v>
      </c>
      <c r="G83" s="1" t="s">
        <v>804</v>
      </c>
    </row>
    <row r="84" spans="1:7" ht="12.75" customHeight="1" x14ac:dyDescent="0.2">
      <c r="A84" s="1" t="s">
        <v>629</v>
      </c>
      <c r="B84" s="1" t="s">
        <v>630</v>
      </c>
      <c r="C84" s="1" t="s">
        <v>630</v>
      </c>
      <c r="D84" s="2" t="s">
        <v>631</v>
      </c>
      <c r="E84" s="1">
        <v>1</v>
      </c>
      <c r="F84" s="1" t="s">
        <v>15</v>
      </c>
      <c r="G84" s="1" t="s">
        <v>804</v>
      </c>
    </row>
    <row r="85" spans="1:7" ht="12.75" customHeight="1" x14ac:dyDescent="0.2">
      <c r="A85" s="1" t="s">
        <v>632</v>
      </c>
      <c r="B85" s="1" t="s">
        <v>633</v>
      </c>
      <c r="C85" s="1" t="s">
        <v>633</v>
      </c>
      <c r="D85" s="2" t="s">
        <v>634</v>
      </c>
      <c r="E85" s="1">
        <v>1</v>
      </c>
      <c r="F85" s="1">
        <v>1</v>
      </c>
      <c r="G85" s="1" t="s">
        <v>804</v>
      </c>
    </row>
    <row r="86" spans="1:7" ht="12.75" customHeight="1" x14ac:dyDescent="0.2">
      <c r="A86" s="1" t="s">
        <v>635</v>
      </c>
      <c r="B86" s="1" t="s">
        <v>636</v>
      </c>
      <c r="C86" s="1" t="s">
        <v>636</v>
      </c>
      <c r="D86" s="2" t="s">
        <v>636</v>
      </c>
      <c r="E86" s="1">
        <v>1</v>
      </c>
      <c r="F86" s="1">
        <v>1</v>
      </c>
      <c r="G86" s="1" t="s">
        <v>804</v>
      </c>
    </row>
    <row r="87" spans="1:7" ht="12.75" customHeight="1" x14ac:dyDescent="0.2">
      <c r="A87" s="1" t="s">
        <v>637</v>
      </c>
      <c r="B87" s="1" t="s">
        <v>638</v>
      </c>
      <c r="C87" s="1" t="s">
        <v>638</v>
      </c>
      <c r="D87" s="2" t="s">
        <v>639</v>
      </c>
      <c r="E87" s="1" t="s">
        <v>15</v>
      </c>
      <c r="F87" s="1">
        <v>1</v>
      </c>
      <c r="G87" s="1" t="s">
        <v>804</v>
      </c>
    </row>
    <row r="88" spans="1:7" ht="12.75" customHeight="1" x14ac:dyDescent="0.2">
      <c r="A88" s="1" t="s">
        <v>640</v>
      </c>
      <c r="B88" s="1" t="s">
        <v>641</v>
      </c>
      <c r="C88" s="1" t="s">
        <v>641</v>
      </c>
      <c r="D88" s="2" t="s">
        <v>642</v>
      </c>
      <c r="E88" s="1">
        <v>1</v>
      </c>
      <c r="F88" s="1">
        <v>1</v>
      </c>
      <c r="G88" s="1" t="s">
        <v>804</v>
      </c>
    </row>
    <row r="89" spans="1:7" ht="12.75" customHeight="1" x14ac:dyDescent="0.2">
      <c r="A89" s="1" t="s">
        <v>643</v>
      </c>
      <c r="B89" s="1" t="s">
        <v>644</v>
      </c>
      <c r="C89" s="1" t="s">
        <v>644</v>
      </c>
      <c r="D89" s="2" t="s">
        <v>645</v>
      </c>
      <c r="E89" s="1">
        <v>1</v>
      </c>
      <c r="F89" s="1" t="s">
        <v>15</v>
      </c>
      <c r="G89" s="1" t="s">
        <v>804</v>
      </c>
    </row>
    <row r="90" spans="1:7" ht="12.75" customHeight="1" x14ac:dyDescent="0.2">
      <c r="A90" s="1" t="s">
        <v>646</v>
      </c>
      <c r="B90" s="1" t="s">
        <v>647</v>
      </c>
      <c r="C90" s="1" t="s">
        <v>647</v>
      </c>
      <c r="D90" s="2" t="s">
        <v>648</v>
      </c>
      <c r="E90" s="1">
        <v>1</v>
      </c>
      <c r="F90" s="1">
        <v>1</v>
      </c>
      <c r="G90" s="1" t="s">
        <v>804</v>
      </c>
    </row>
    <row r="91" spans="1:7" ht="12.75" customHeight="1" x14ac:dyDescent="0.2">
      <c r="A91" s="1" t="s">
        <v>649</v>
      </c>
      <c r="B91" s="1" t="s">
        <v>650</v>
      </c>
      <c r="C91" s="1" t="s">
        <v>650</v>
      </c>
      <c r="D91" s="2" t="s">
        <v>651</v>
      </c>
      <c r="E91" s="1">
        <v>1</v>
      </c>
      <c r="F91" s="1" t="s">
        <v>15</v>
      </c>
      <c r="G91" s="1" t="s">
        <v>804</v>
      </c>
    </row>
    <row r="92" spans="1:7" ht="12.75" customHeight="1" x14ac:dyDescent="0.2">
      <c r="A92" s="1" t="s">
        <v>652</v>
      </c>
      <c r="B92" s="1" t="s">
        <v>653</v>
      </c>
      <c r="C92" s="1" t="s">
        <v>653</v>
      </c>
      <c r="D92" s="2" t="s">
        <v>654</v>
      </c>
      <c r="E92" s="1">
        <v>1</v>
      </c>
      <c r="F92" s="1">
        <v>1</v>
      </c>
      <c r="G92" s="1" t="s">
        <v>804</v>
      </c>
    </row>
    <row r="93" spans="1:7" ht="12.75" customHeight="1" x14ac:dyDescent="0.2">
      <c r="A93" s="1" t="s">
        <v>655</v>
      </c>
      <c r="B93" s="1" t="s">
        <v>656</v>
      </c>
      <c r="C93" s="1" t="s">
        <v>656</v>
      </c>
      <c r="D93" s="2" t="s">
        <v>657</v>
      </c>
      <c r="E93" s="1">
        <v>1</v>
      </c>
      <c r="F93" s="1">
        <v>1</v>
      </c>
      <c r="G93" s="1" t="s">
        <v>804</v>
      </c>
    </row>
    <row r="94" spans="1:7" ht="12.75" customHeight="1" x14ac:dyDescent="0.2">
      <c r="A94" s="1" t="s">
        <v>658</v>
      </c>
      <c r="B94" s="1" t="s">
        <v>659</v>
      </c>
      <c r="C94" s="1" t="s">
        <v>659</v>
      </c>
      <c r="D94" s="2" t="s">
        <v>660</v>
      </c>
      <c r="E94" s="1">
        <v>1</v>
      </c>
      <c r="F94" s="1" t="s">
        <v>15</v>
      </c>
      <c r="G94" s="1" t="s">
        <v>804</v>
      </c>
    </row>
    <row r="95" spans="1:7" ht="12.75" customHeight="1" x14ac:dyDescent="0.2">
      <c r="A95" s="1" t="s">
        <v>661</v>
      </c>
      <c r="B95" s="1" t="s">
        <v>662</v>
      </c>
      <c r="C95" s="1" t="s">
        <v>662</v>
      </c>
      <c r="D95" s="2" t="s">
        <v>662</v>
      </c>
      <c r="E95" s="1">
        <v>1</v>
      </c>
      <c r="F95" s="1">
        <v>1</v>
      </c>
      <c r="G95" s="1" t="s">
        <v>804</v>
      </c>
    </row>
    <row r="96" spans="1:7" ht="12.75" customHeight="1" x14ac:dyDescent="0.2">
      <c r="A96" s="1" t="s">
        <v>663</v>
      </c>
      <c r="B96" s="1" t="s">
        <v>664</v>
      </c>
      <c r="C96" s="1" t="s">
        <v>664</v>
      </c>
      <c r="D96" s="2" t="s">
        <v>665</v>
      </c>
      <c r="E96" s="1">
        <v>1</v>
      </c>
      <c r="F96" s="1">
        <v>1</v>
      </c>
      <c r="G96" s="1" t="s">
        <v>804</v>
      </c>
    </row>
    <row r="97" spans="1:7" ht="12.75" customHeight="1" x14ac:dyDescent="0.2">
      <c r="A97" s="1" t="s">
        <v>666</v>
      </c>
      <c r="B97" s="1" t="s">
        <v>667</v>
      </c>
      <c r="C97" s="1" t="s">
        <v>667</v>
      </c>
      <c r="D97" s="2" t="s">
        <v>667</v>
      </c>
      <c r="E97" s="1">
        <v>1</v>
      </c>
      <c r="F97" s="1">
        <v>1</v>
      </c>
      <c r="G97" s="1" t="s">
        <v>804</v>
      </c>
    </row>
    <row r="98" spans="1:7" ht="12.75" customHeight="1" x14ac:dyDescent="0.2">
      <c r="A98" s="1" t="s">
        <v>668</v>
      </c>
      <c r="B98" s="1" t="s">
        <v>669</v>
      </c>
      <c r="C98" s="1" t="s">
        <v>669</v>
      </c>
      <c r="D98" s="2" t="s">
        <v>670</v>
      </c>
      <c r="E98" s="1">
        <v>1</v>
      </c>
      <c r="F98" s="1">
        <v>1</v>
      </c>
      <c r="G98" s="1" t="s">
        <v>804</v>
      </c>
    </row>
    <row r="99" spans="1:7" ht="12.75" customHeight="1" x14ac:dyDescent="0.2">
      <c r="A99" s="1" t="s">
        <v>671</v>
      </c>
      <c r="B99" s="1" t="s">
        <v>672</v>
      </c>
      <c r="C99" s="1" t="s">
        <v>673</v>
      </c>
      <c r="D99" s="2" t="s">
        <v>674</v>
      </c>
      <c r="E99" s="1" t="s">
        <v>6</v>
      </c>
      <c r="F99" s="1" t="s">
        <v>6</v>
      </c>
      <c r="G99" s="1" t="s">
        <v>803</v>
      </c>
    </row>
    <row r="100" spans="1:7" ht="12.75" customHeight="1" x14ac:dyDescent="0.2">
      <c r="A100" s="1" t="s">
        <v>415</v>
      </c>
      <c r="B100" s="1" t="s">
        <v>416</v>
      </c>
      <c r="C100" s="1" t="s">
        <v>416</v>
      </c>
      <c r="D100" s="2" t="s">
        <v>416</v>
      </c>
      <c r="E100" s="1">
        <v>1</v>
      </c>
      <c r="F100" s="1">
        <v>1</v>
      </c>
      <c r="G100" s="1" t="s">
        <v>811</v>
      </c>
    </row>
    <row r="101" spans="1:7" ht="12.75" customHeight="1" x14ac:dyDescent="0.2">
      <c r="A101" s="1" t="s">
        <v>417</v>
      </c>
      <c r="B101" s="1" t="s">
        <v>418</v>
      </c>
      <c r="C101" s="1" t="s">
        <v>419</v>
      </c>
      <c r="D101" s="2" t="s">
        <v>418</v>
      </c>
      <c r="E101" s="1" t="s">
        <v>23</v>
      </c>
      <c r="F101" s="1" t="s">
        <v>23</v>
      </c>
      <c r="G101" s="1" t="s">
        <v>803</v>
      </c>
    </row>
    <row r="102" spans="1:7" ht="12.75" customHeight="1" x14ac:dyDescent="0.2">
      <c r="A102" s="1" t="s">
        <v>420</v>
      </c>
      <c r="B102" s="1" t="s">
        <v>421</v>
      </c>
      <c r="C102" s="1" t="s">
        <v>422</v>
      </c>
      <c r="D102" s="2" t="s">
        <v>421</v>
      </c>
      <c r="E102" s="1" t="s">
        <v>23</v>
      </c>
      <c r="F102" s="1" t="s">
        <v>23</v>
      </c>
      <c r="G102" s="1" t="s">
        <v>808</v>
      </c>
    </row>
    <row r="103" spans="1:7" ht="12.75" customHeight="1" x14ac:dyDescent="0.2">
      <c r="A103" s="1" t="s">
        <v>423</v>
      </c>
      <c r="B103" s="1" t="s">
        <v>424</v>
      </c>
      <c r="C103" s="1" t="s">
        <v>424</v>
      </c>
      <c r="D103" s="2" t="s">
        <v>424</v>
      </c>
      <c r="E103" s="1">
        <v>1</v>
      </c>
      <c r="F103" s="1">
        <v>1</v>
      </c>
      <c r="G103" s="1" t="s">
        <v>811</v>
      </c>
    </row>
    <row r="104" spans="1:7" ht="12.75" customHeight="1" x14ac:dyDescent="0.2">
      <c r="A104" s="1" t="s">
        <v>425</v>
      </c>
      <c r="B104" s="1" t="s">
        <v>426</v>
      </c>
      <c r="C104" s="1" t="s">
        <v>427</v>
      </c>
      <c r="D104" s="2" t="s">
        <v>426</v>
      </c>
      <c r="E104" s="1" t="s">
        <v>23</v>
      </c>
      <c r="F104" s="1" t="s">
        <v>23</v>
      </c>
      <c r="G104" s="32" t="s">
        <v>803</v>
      </c>
    </row>
    <row r="105" spans="1:7" ht="12.75" customHeight="1" x14ac:dyDescent="0.2">
      <c r="A105" s="1" t="s">
        <v>428</v>
      </c>
      <c r="B105" s="1" t="s">
        <v>429</v>
      </c>
      <c r="C105" s="1" t="s">
        <v>429</v>
      </c>
      <c r="D105" s="2" t="s">
        <v>430</v>
      </c>
      <c r="E105" s="1">
        <v>1</v>
      </c>
      <c r="F105" s="1">
        <v>1</v>
      </c>
      <c r="G105" s="1" t="s">
        <v>811</v>
      </c>
    </row>
    <row r="106" spans="1:7" ht="12.75" customHeight="1" x14ac:dyDescent="0.2">
      <c r="A106" s="1" t="s">
        <v>431</v>
      </c>
      <c r="B106" s="1" t="s">
        <v>432</v>
      </c>
      <c r="C106" s="1" t="s">
        <v>432</v>
      </c>
      <c r="D106" s="2" t="s">
        <v>432</v>
      </c>
      <c r="E106" s="1">
        <v>1</v>
      </c>
      <c r="F106" s="1">
        <v>1</v>
      </c>
      <c r="G106" s="1" t="s">
        <v>811</v>
      </c>
    </row>
    <row r="107" spans="1:7" ht="12.75" customHeight="1" x14ac:dyDescent="0.2">
      <c r="A107" s="1" t="s">
        <v>433</v>
      </c>
      <c r="B107" s="1" t="s">
        <v>434</v>
      </c>
      <c r="C107" s="1" t="s">
        <v>434</v>
      </c>
      <c r="D107" s="2" t="s">
        <v>434</v>
      </c>
      <c r="E107" s="1">
        <v>1</v>
      </c>
      <c r="F107" s="1">
        <v>1</v>
      </c>
      <c r="G107" s="1" t="s">
        <v>811</v>
      </c>
    </row>
    <row r="108" spans="1:7" ht="12.75" customHeight="1" x14ac:dyDescent="0.2">
      <c r="A108" s="1" t="s">
        <v>435</v>
      </c>
      <c r="B108" s="1" t="s">
        <v>436</v>
      </c>
      <c r="C108" s="1" t="s">
        <v>437</v>
      </c>
      <c r="D108" s="2" t="s">
        <v>436</v>
      </c>
      <c r="E108" s="1" t="s">
        <v>23</v>
      </c>
      <c r="F108" s="1" t="s">
        <v>23</v>
      </c>
      <c r="G108" s="1" t="s">
        <v>802</v>
      </c>
    </row>
    <row r="109" spans="1:7" ht="12.75" customHeight="1" x14ac:dyDescent="0.2">
      <c r="A109" s="1" t="s">
        <v>438</v>
      </c>
      <c r="B109" s="1" t="s">
        <v>439</v>
      </c>
      <c r="C109" s="1" t="s">
        <v>439</v>
      </c>
      <c r="D109" s="2" t="s">
        <v>439</v>
      </c>
      <c r="E109" s="1">
        <v>1</v>
      </c>
      <c r="F109" s="1">
        <v>1</v>
      </c>
      <c r="G109" s="1" t="s">
        <v>811</v>
      </c>
    </row>
    <row r="110" spans="1:7" ht="12.75" customHeight="1" x14ac:dyDescent="0.2">
      <c r="A110" s="1" t="s">
        <v>440</v>
      </c>
      <c r="B110" s="1" t="s">
        <v>441</v>
      </c>
      <c r="C110" s="1" t="s">
        <v>441</v>
      </c>
      <c r="D110" s="2" t="s">
        <v>441</v>
      </c>
      <c r="E110" s="1">
        <v>1</v>
      </c>
      <c r="F110" s="1">
        <v>1</v>
      </c>
      <c r="G110" s="1" t="s">
        <v>811</v>
      </c>
    </row>
    <row r="111" spans="1:7" ht="12.75" customHeight="1" x14ac:dyDescent="0.2">
      <c r="A111" s="1" t="s">
        <v>442</v>
      </c>
      <c r="B111" s="1" t="s">
        <v>443</v>
      </c>
      <c r="C111" s="1" t="s">
        <v>443</v>
      </c>
      <c r="D111" s="2" t="s">
        <v>444</v>
      </c>
      <c r="E111" s="1">
        <v>1</v>
      </c>
      <c r="F111" s="1">
        <v>1</v>
      </c>
      <c r="G111" s="1" t="s">
        <v>811</v>
      </c>
    </row>
    <row r="112" spans="1:7" ht="12.75" customHeight="1" x14ac:dyDescent="0.2">
      <c r="A112" s="1" t="s">
        <v>445</v>
      </c>
      <c r="B112" s="1" t="s">
        <v>446</v>
      </c>
      <c r="C112" s="1" t="s">
        <v>446</v>
      </c>
      <c r="D112" s="2" t="s">
        <v>446</v>
      </c>
      <c r="E112" s="1">
        <v>1</v>
      </c>
      <c r="F112" s="1">
        <v>1</v>
      </c>
      <c r="G112" s="1" t="s">
        <v>811</v>
      </c>
    </row>
    <row r="113" spans="1:7" ht="12.75" customHeight="1" x14ac:dyDescent="0.2">
      <c r="A113" s="1" t="s">
        <v>447</v>
      </c>
      <c r="B113" s="1" t="s">
        <v>448</v>
      </c>
      <c r="C113" s="1" t="s">
        <v>449</v>
      </c>
      <c r="D113" s="2" t="s">
        <v>448</v>
      </c>
      <c r="E113" s="1">
        <v>1</v>
      </c>
      <c r="F113" s="1">
        <v>1</v>
      </c>
      <c r="G113" s="32" t="s">
        <v>802</v>
      </c>
    </row>
    <row r="114" spans="1:7" ht="12.75" customHeight="1" x14ac:dyDescent="0.2">
      <c r="A114" s="1" t="s">
        <v>450</v>
      </c>
      <c r="B114" s="1" t="s">
        <v>451</v>
      </c>
      <c r="C114" s="1" t="s">
        <v>451</v>
      </c>
      <c r="D114" s="2" t="s">
        <v>451</v>
      </c>
      <c r="E114" s="1">
        <v>1</v>
      </c>
      <c r="F114" s="1">
        <v>1</v>
      </c>
      <c r="G114" s="1" t="s">
        <v>811</v>
      </c>
    </row>
    <row r="115" spans="1:7" ht="12.75" customHeight="1" x14ac:dyDescent="0.2">
      <c r="A115" s="1" t="s">
        <v>452</v>
      </c>
      <c r="B115" s="1" t="s">
        <v>453</v>
      </c>
      <c r="C115" s="1" t="s">
        <v>453</v>
      </c>
      <c r="D115" s="2" t="s">
        <v>453</v>
      </c>
      <c r="E115" s="1">
        <v>1</v>
      </c>
      <c r="F115" s="1">
        <v>1</v>
      </c>
      <c r="G115" s="1" t="s">
        <v>811</v>
      </c>
    </row>
    <row r="116" spans="1:7" ht="12.75" customHeight="1" x14ac:dyDescent="0.2">
      <c r="A116" s="1" t="s">
        <v>454</v>
      </c>
      <c r="B116" s="1" t="s">
        <v>455</v>
      </c>
      <c r="C116" s="1" t="s">
        <v>455</v>
      </c>
      <c r="D116" s="2" t="s">
        <v>455</v>
      </c>
      <c r="E116" s="1">
        <v>1</v>
      </c>
      <c r="F116" s="1">
        <v>1</v>
      </c>
      <c r="G116" s="1" t="s">
        <v>811</v>
      </c>
    </row>
    <row r="117" spans="1:7" ht="12.75" customHeight="1" x14ac:dyDescent="0.2">
      <c r="A117" s="1" t="s">
        <v>456</v>
      </c>
      <c r="B117" s="1" t="s">
        <v>457</v>
      </c>
      <c r="C117" s="1" t="s">
        <v>457</v>
      </c>
      <c r="D117" s="2" t="s">
        <v>457</v>
      </c>
      <c r="E117" s="1">
        <v>1</v>
      </c>
      <c r="F117" s="1">
        <v>1</v>
      </c>
      <c r="G117" s="1" t="s">
        <v>811</v>
      </c>
    </row>
    <row r="118" spans="1:7" ht="12.75" customHeight="1" x14ac:dyDescent="0.2">
      <c r="A118" s="1" t="s">
        <v>458</v>
      </c>
      <c r="B118" s="1" t="s">
        <v>459</v>
      </c>
      <c r="C118" s="1" t="s">
        <v>459</v>
      </c>
      <c r="D118" s="2" t="s">
        <v>459</v>
      </c>
      <c r="E118" s="1">
        <v>1</v>
      </c>
      <c r="F118" s="1">
        <v>1</v>
      </c>
      <c r="G118" s="1" t="s">
        <v>811</v>
      </c>
    </row>
    <row r="119" spans="1:7" ht="12.75" customHeight="1" x14ac:dyDescent="0.2">
      <c r="A119" s="1" t="s">
        <v>460</v>
      </c>
      <c r="B119" s="1" t="s">
        <v>461</v>
      </c>
      <c r="C119" s="1" t="s">
        <v>461</v>
      </c>
      <c r="D119" s="2" t="s">
        <v>461</v>
      </c>
      <c r="E119" s="1">
        <v>1</v>
      </c>
      <c r="F119" s="1">
        <v>1</v>
      </c>
      <c r="G119" s="1" t="s">
        <v>811</v>
      </c>
    </row>
    <row r="120" spans="1:7" ht="12.75" customHeight="1" x14ac:dyDescent="0.2">
      <c r="A120" s="1" t="s">
        <v>462</v>
      </c>
      <c r="B120" s="1" t="s">
        <v>463</v>
      </c>
      <c r="C120" s="1" t="s">
        <v>463</v>
      </c>
      <c r="D120" s="2" t="s">
        <v>463</v>
      </c>
      <c r="E120" s="1">
        <v>1</v>
      </c>
      <c r="F120" s="1">
        <v>1</v>
      </c>
      <c r="G120" s="1" t="s">
        <v>811</v>
      </c>
    </row>
    <row r="121" spans="1:7" ht="12.75" customHeight="1" x14ac:dyDescent="0.2">
      <c r="A121" s="1" t="s">
        <v>464</v>
      </c>
      <c r="B121" s="1" t="s">
        <v>465</v>
      </c>
      <c r="C121" s="1" t="s">
        <v>465</v>
      </c>
      <c r="D121" s="2" t="s">
        <v>465</v>
      </c>
      <c r="E121" s="1">
        <v>1</v>
      </c>
      <c r="F121" s="1">
        <v>1</v>
      </c>
      <c r="G121" s="1" t="s">
        <v>811</v>
      </c>
    </row>
    <row r="122" spans="1:7" ht="12.75" customHeight="1" x14ac:dyDescent="0.2">
      <c r="A122" s="1" t="s">
        <v>466</v>
      </c>
      <c r="B122" s="1" t="s">
        <v>467</v>
      </c>
      <c r="C122" s="1" t="s">
        <v>467</v>
      </c>
      <c r="D122" s="2" t="s">
        <v>467</v>
      </c>
      <c r="E122" s="1">
        <v>1</v>
      </c>
      <c r="F122" s="1">
        <v>1</v>
      </c>
      <c r="G122" s="1" t="s">
        <v>811</v>
      </c>
    </row>
    <row r="123" spans="1:7" ht="12.75" customHeight="1" x14ac:dyDescent="0.2">
      <c r="A123" s="1" t="s">
        <v>468</v>
      </c>
      <c r="B123" s="1" t="s">
        <v>469</v>
      </c>
      <c r="C123" s="1" t="s">
        <v>469</v>
      </c>
      <c r="D123" s="2" t="s">
        <v>469</v>
      </c>
      <c r="E123" s="1">
        <v>1</v>
      </c>
      <c r="F123" s="1">
        <v>1</v>
      </c>
      <c r="G123" s="1" t="s">
        <v>811</v>
      </c>
    </row>
    <row r="124" spans="1:7" ht="12.75" customHeight="1" x14ac:dyDescent="0.2">
      <c r="A124" s="1" t="s">
        <v>470</v>
      </c>
      <c r="B124" s="1" t="s">
        <v>471</v>
      </c>
      <c r="C124" s="1" t="s">
        <v>472</v>
      </c>
      <c r="D124" s="2" t="s">
        <v>471</v>
      </c>
      <c r="E124" s="1" t="s">
        <v>6</v>
      </c>
      <c r="F124" s="1" t="s">
        <v>6</v>
      </c>
      <c r="G124" s="1" t="s">
        <v>815</v>
      </c>
    </row>
    <row r="125" spans="1:7" ht="12.75" customHeight="1" x14ac:dyDescent="0.2">
      <c r="A125" s="1" t="s">
        <v>473</v>
      </c>
      <c r="B125" s="1" t="s">
        <v>474</v>
      </c>
      <c r="C125" s="1" t="s">
        <v>474</v>
      </c>
      <c r="D125" s="2" t="s">
        <v>474</v>
      </c>
      <c r="E125" s="1">
        <v>1</v>
      </c>
      <c r="F125" s="1">
        <v>1</v>
      </c>
      <c r="G125" s="1" t="s">
        <v>811</v>
      </c>
    </row>
    <row r="126" spans="1:7" ht="12.75" customHeight="1" x14ac:dyDescent="0.2">
      <c r="A126" s="1" t="s">
        <v>475</v>
      </c>
      <c r="B126" s="1" t="s">
        <v>476</v>
      </c>
      <c r="C126" s="1" t="s">
        <v>477</v>
      </c>
      <c r="D126" s="2" t="s">
        <v>476</v>
      </c>
      <c r="E126" s="1" t="s">
        <v>6</v>
      </c>
      <c r="F126" s="1" t="s">
        <v>6</v>
      </c>
      <c r="G126" s="1" t="s">
        <v>810</v>
      </c>
    </row>
    <row r="127" spans="1:7" ht="12.75" customHeight="1" x14ac:dyDescent="0.2">
      <c r="A127" s="1" t="s">
        <v>478</v>
      </c>
      <c r="B127" s="1" t="s">
        <v>479</v>
      </c>
      <c r="C127" s="1" t="s">
        <v>479</v>
      </c>
      <c r="D127" s="2" t="s">
        <v>479</v>
      </c>
      <c r="E127" s="1">
        <v>1</v>
      </c>
      <c r="F127" s="1">
        <v>1</v>
      </c>
      <c r="G127" s="1" t="s">
        <v>811</v>
      </c>
    </row>
    <row r="128" spans="1:7" ht="12.75" customHeight="1" x14ac:dyDescent="0.2">
      <c r="A128" s="1" t="s">
        <v>480</v>
      </c>
      <c r="B128" s="1" t="s">
        <v>481</v>
      </c>
      <c r="C128" s="1" t="s">
        <v>481</v>
      </c>
      <c r="D128" s="2" t="s">
        <v>481</v>
      </c>
      <c r="E128" s="1">
        <v>1</v>
      </c>
      <c r="F128" s="1">
        <v>1</v>
      </c>
      <c r="G128" s="1" t="s">
        <v>811</v>
      </c>
    </row>
    <row r="129" spans="1:7" ht="12.75" customHeight="1" x14ac:dyDescent="0.2">
      <c r="A129" s="1" t="s">
        <v>482</v>
      </c>
      <c r="B129" s="1" t="s">
        <v>483</v>
      </c>
      <c r="C129" s="1" t="s">
        <v>483</v>
      </c>
      <c r="D129" s="2" t="s">
        <v>483</v>
      </c>
      <c r="E129" s="1">
        <v>1</v>
      </c>
      <c r="F129" s="1">
        <v>1</v>
      </c>
      <c r="G129" s="1" t="s">
        <v>811</v>
      </c>
    </row>
    <row r="130" spans="1:7" ht="12.75" customHeight="1" x14ac:dyDescent="0.2">
      <c r="A130" s="1" t="s">
        <v>484</v>
      </c>
      <c r="B130" s="1" t="s">
        <v>485</v>
      </c>
      <c r="C130" s="1" t="s">
        <v>485</v>
      </c>
      <c r="D130" s="2" t="s">
        <v>485</v>
      </c>
      <c r="E130" s="1">
        <v>1</v>
      </c>
      <c r="F130" s="1">
        <v>1</v>
      </c>
      <c r="G130" s="1" t="s">
        <v>811</v>
      </c>
    </row>
    <row r="131" spans="1:7" ht="12.75" customHeight="1" x14ac:dyDescent="0.2">
      <c r="A131" s="1" t="s">
        <v>486</v>
      </c>
      <c r="B131" s="1" t="s">
        <v>487</v>
      </c>
      <c r="C131" s="1" t="s">
        <v>487</v>
      </c>
      <c r="D131" s="2" t="s">
        <v>487</v>
      </c>
      <c r="E131" s="1">
        <v>1</v>
      </c>
      <c r="F131" s="1">
        <v>1</v>
      </c>
      <c r="G131" s="1" t="s">
        <v>811</v>
      </c>
    </row>
    <row r="132" spans="1:7" ht="12.75" customHeight="1" x14ac:dyDescent="0.2">
      <c r="A132" s="1" t="s">
        <v>488</v>
      </c>
      <c r="B132" s="1" t="s">
        <v>489</v>
      </c>
      <c r="C132" s="1" t="s">
        <v>489</v>
      </c>
      <c r="D132" s="2" t="s">
        <v>489</v>
      </c>
      <c r="E132" s="1">
        <v>1</v>
      </c>
      <c r="F132" s="1">
        <v>1</v>
      </c>
      <c r="G132" s="1" t="s">
        <v>811</v>
      </c>
    </row>
    <row r="133" spans="1:7" ht="12.75" customHeight="1" x14ac:dyDescent="0.2">
      <c r="A133" s="1" t="s">
        <v>490</v>
      </c>
      <c r="B133" s="1" t="s">
        <v>491</v>
      </c>
      <c r="C133" s="1" t="s">
        <v>491</v>
      </c>
      <c r="D133" s="2" t="s">
        <v>492</v>
      </c>
      <c r="E133" s="1" t="s">
        <v>493</v>
      </c>
      <c r="F133" s="1">
        <v>1</v>
      </c>
      <c r="G133" s="1" t="s">
        <v>811</v>
      </c>
    </row>
    <row r="134" spans="1:7" ht="12.75" customHeight="1" x14ac:dyDescent="0.2">
      <c r="A134" s="1" t="s">
        <v>494</v>
      </c>
      <c r="B134" s="1" t="s">
        <v>495</v>
      </c>
      <c r="C134" s="1" t="s">
        <v>496</v>
      </c>
      <c r="D134" s="2" t="s">
        <v>495</v>
      </c>
      <c r="E134" s="1">
        <v>1</v>
      </c>
      <c r="F134" s="1">
        <v>1</v>
      </c>
      <c r="G134" s="1" t="s">
        <v>803</v>
      </c>
    </row>
    <row r="135" spans="1:7" ht="12.75" customHeight="1" x14ac:dyDescent="0.2">
      <c r="A135" s="1" t="s">
        <v>497</v>
      </c>
      <c r="B135" s="1" t="s">
        <v>498</v>
      </c>
      <c r="C135" s="1" t="s">
        <v>498</v>
      </c>
      <c r="D135" s="2" t="s">
        <v>498</v>
      </c>
      <c r="E135" s="1">
        <v>1</v>
      </c>
      <c r="F135" s="1">
        <v>1</v>
      </c>
      <c r="G135" s="1" t="s">
        <v>811</v>
      </c>
    </row>
    <row r="136" spans="1:7" ht="12.75" customHeight="1" x14ac:dyDescent="0.2">
      <c r="A136" s="1" t="s">
        <v>499</v>
      </c>
      <c r="B136" s="1" t="s">
        <v>500</v>
      </c>
      <c r="C136" s="1" t="s">
        <v>500</v>
      </c>
      <c r="D136" s="2" t="s">
        <v>500</v>
      </c>
      <c r="E136" s="1">
        <v>1</v>
      </c>
      <c r="F136" s="1">
        <v>1</v>
      </c>
      <c r="G136" s="1" t="s">
        <v>811</v>
      </c>
    </row>
    <row r="137" spans="1:7" ht="12.75" customHeight="1" x14ac:dyDescent="0.2">
      <c r="A137" s="1" t="s">
        <v>501</v>
      </c>
      <c r="B137" s="1" t="s">
        <v>502</v>
      </c>
      <c r="C137" s="1" t="s">
        <v>502</v>
      </c>
      <c r="D137" s="2" t="s">
        <v>503</v>
      </c>
      <c r="E137" s="1">
        <v>1</v>
      </c>
      <c r="F137" s="1">
        <v>1</v>
      </c>
      <c r="G137" s="1" t="s">
        <v>811</v>
      </c>
    </row>
    <row r="138" spans="1:7" ht="12.75" customHeight="1" x14ac:dyDescent="0.2">
      <c r="A138" s="1" t="s">
        <v>504</v>
      </c>
      <c r="B138" s="1" t="s">
        <v>505</v>
      </c>
      <c r="C138" s="1" t="s">
        <v>505</v>
      </c>
      <c r="D138" s="2" t="s">
        <v>505</v>
      </c>
      <c r="E138" s="1">
        <v>1</v>
      </c>
      <c r="F138" s="1">
        <v>1</v>
      </c>
      <c r="G138" s="1" t="s">
        <v>811</v>
      </c>
    </row>
    <row r="139" spans="1:7" ht="12.75" customHeight="1" x14ac:dyDescent="0.2">
      <c r="A139" s="1" t="s">
        <v>506</v>
      </c>
      <c r="B139" s="1" t="s">
        <v>507</v>
      </c>
      <c r="C139" s="1" t="s">
        <v>507</v>
      </c>
      <c r="D139" s="2" t="s">
        <v>507</v>
      </c>
      <c r="E139" s="1">
        <v>1</v>
      </c>
      <c r="F139" s="1">
        <v>1</v>
      </c>
      <c r="G139" s="1" t="s">
        <v>811</v>
      </c>
    </row>
    <row r="140" spans="1:7" ht="12.75" customHeight="1" x14ac:dyDescent="0.2">
      <c r="A140" s="1" t="s">
        <v>508</v>
      </c>
      <c r="B140" s="1" t="s">
        <v>509</v>
      </c>
      <c r="C140" s="1" t="s">
        <v>509</v>
      </c>
      <c r="D140" s="2" t="s">
        <v>509</v>
      </c>
      <c r="E140" s="1">
        <v>1</v>
      </c>
      <c r="F140" s="1">
        <v>1</v>
      </c>
      <c r="G140" s="1" t="s">
        <v>811</v>
      </c>
    </row>
    <row r="141" spans="1:7" ht="12.75" customHeight="1" x14ac:dyDescent="0.2">
      <c r="A141" s="1" t="s">
        <v>510</v>
      </c>
      <c r="B141" s="1" t="s">
        <v>511</v>
      </c>
      <c r="C141" s="1" t="s">
        <v>511</v>
      </c>
      <c r="D141" s="2" t="s">
        <v>511</v>
      </c>
      <c r="E141" s="1">
        <v>1</v>
      </c>
      <c r="F141" s="1">
        <v>1</v>
      </c>
      <c r="G141" s="1" t="s">
        <v>811</v>
      </c>
    </row>
    <row r="142" spans="1:7" ht="12.75" customHeight="1" x14ac:dyDescent="0.2">
      <c r="A142" s="1" t="s">
        <v>512</v>
      </c>
      <c r="B142" s="1" t="s">
        <v>513</v>
      </c>
      <c r="C142" s="1" t="s">
        <v>513</v>
      </c>
      <c r="D142" s="2" t="s">
        <v>513</v>
      </c>
      <c r="E142" s="1">
        <v>1</v>
      </c>
      <c r="F142" s="1">
        <v>1</v>
      </c>
      <c r="G142" s="1" t="s">
        <v>811</v>
      </c>
    </row>
    <row r="143" spans="1:7" ht="12.75" customHeight="1" x14ac:dyDescent="0.2">
      <c r="A143" s="1" t="s">
        <v>514</v>
      </c>
      <c r="B143" s="1" t="s">
        <v>515</v>
      </c>
      <c r="C143" s="1" t="s">
        <v>515</v>
      </c>
      <c r="D143" s="2" t="s">
        <v>515</v>
      </c>
      <c r="E143" s="1">
        <v>1</v>
      </c>
      <c r="F143" s="1">
        <v>1</v>
      </c>
      <c r="G143" s="1" t="s">
        <v>811</v>
      </c>
    </row>
    <row r="144" spans="1:7" ht="12.75" customHeight="1" x14ac:dyDescent="0.2">
      <c r="A144" s="1" t="s">
        <v>516</v>
      </c>
      <c r="B144" s="1" t="s">
        <v>517</v>
      </c>
      <c r="C144" s="1" t="s">
        <v>517</v>
      </c>
      <c r="D144" s="2" t="s">
        <v>517</v>
      </c>
      <c r="E144" s="1">
        <v>1</v>
      </c>
      <c r="F144" s="1">
        <v>1</v>
      </c>
      <c r="G144" s="1" t="s">
        <v>811</v>
      </c>
    </row>
    <row r="145" spans="1:7" ht="12.75" customHeight="1" x14ac:dyDescent="0.2">
      <c r="A145" s="1" t="s">
        <v>518</v>
      </c>
      <c r="B145" s="1" t="s">
        <v>519</v>
      </c>
      <c r="C145" s="1" t="s">
        <v>519</v>
      </c>
      <c r="D145" s="2" t="s">
        <v>519</v>
      </c>
      <c r="E145" s="1">
        <v>1</v>
      </c>
      <c r="F145" s="1">
        <v>1</v>
      </c>
      <c r="G145" s="1" t="s">
        <v>811</v>
      </c>
    </row>
    <row r="146" spans="1:7" ht="12.75" customHeight="1" x14ac:dyDescent="0.2">
      <c r="A146" s="1" t="s">
        <v>520</v>
      </c>
      <c r="B146" s="1" t="s">
        <v>521</v>
      </c>
      <c r="C146" s="1" t="s">
        <v>521</v>
      </c>
      <c r="D146" s="2" t="s">
        <v>521</v>
      </c>
      <c r="E146" s="1">
        <v>1</v>
      </c>
      <c r="F146" s="1">
        <v>1</v>
      </c>
      <c r="G146" s="1" t="s">
        <v>811</v>
      </c>
    </row>
    <row r="147" spans="1:7" ht="12.75" customHeight="1" x14ac:dyDescent="0.2">
      <c r="A147" s="1" t="s">
        <v>522</v>
      </c>
      <c r="B147" s="1" t="s">
        <v>523</v>
      </c>
      <c r="C147" s="1" t="s">
        <v>523</v>
      </c>
      <c r="D147" s="2" t="s">
        <v>523</v>
      </c>
      <c r="E147" s="1">
        <v>1</v>
      </c>
      <c r="F147" s="1">
        <v>1</v>
      </c>
      <c r="G147" s="1" t="s">
        <v>811</v>
      </c>
    </row>
    <row r="148" spans="1:7" ht="12.75" customHeight="1" x14ac:dyDescent="0.2">
      <c r="A148" s="1" t="s">
        <v>524</v>
      </c>
      <c r="B148" s="1" t="s">
        <v>525</v>
      </c>
      <c r="C148" s="1" t="s">
        <v>526</v>
      </c>
      <c r="D148" s="2" t="s">
        <v>525</v>
      </c>
      <c r="E148" s="1">
        <v>1</v>
      </c>
      <c r="F148" s="1">
        <v>1</v>
      </c>
      <c r="G148" s="1" t="s">
        <v>817</v>
      </c>
    </row>
    <row r="149" spans="1:7" ht="12.75" customHeight="1" x14ac:dyDescent="0.2">
      <c r="A149" s="1" t="s">
        <v>527</v>
      </c>
      <c r="B149" s="1" t="s">
        <v>528</v>
      </c>
      <c r="C149" s="1" t="s">
        <v>528</v>
      </c>
      <c r="D149" s="2" t="s">
        <v>528</v>
      </c>
      <c r="E149" s="1">
        <v>1</v>
      </c>
      <c r="F149" s="1">
        <v>1</v>
      </c>
      <c r="G149" s="1" t="s">
        <v>811</v>
      </c>
    </row>
    <row r="150" spans="1:7" ht="12.75" customHeight="1" x14ac:dyDescent="0.2">
      <c r="A150" s="1" t="s">
        <v>3</v>
      </c>
      <c r="B150" s="1" t="s">
        <v>4</v>
      </c>
      <c r="C150" s="1" t="s">
        <v>5</v>
      </c>
      <c r="D150" s="2" t="s">
        <v>4</v>
      </c>
      <c r="E150" s="1" t="s">
        <v>6</v>
      </c>
      <c r="F150" s="1" t="s">
        <v>6</v>
      </c>
      <c r="G150" s="1" t="s">
        <v>802</v>
      </c>
    </row>
    <row r="151" spans="1:7" ht="12.75" customHeight="1" x14ac:dyDescent="0.2">
      <c r="A151" s="1" t="s">
        <v>7</v>
      </c>
      <c r="B151" s="1" t="s">
        <v>8</v>
      </c>
      <c r="C151" s="1" t="s">
        <v>9</v>
      </c>
      <c r="D151" s="2" t="s">
        <v>8</v>
      </c>
      <c r="E151" s="1" t="s">
        <v>6</v>
      </c>
      <c r="F151" s="1" t="s">
        <v>6</v>
      </c>
      <c r="G151" s="1" t="s">
        <v>803</v>
      </c>
    </row>
    <row r="152" spans="1:7" ht="12.75" customHeight="1" x14ac:dyDescent="0.2">
      <c r="A152" s="1" t="s">
        <v>10</v>
      </c>
      <c r="B152" s="1" t="s">
        <v>11</v>
      </c>
      <c r="C152" s="1" t="s">
        <v>11</v>
      </c>
      <c r="D152" s="2" t="s">
        <v>11</v>
      </c>
      <c r="E152" s="1">
        <v>1</v>
      </c>
      <c r="F152" s="3">
        <v>1</v>
      </c>
      <c r="G152" s="1" t="s">
        <v>804</v>
      </c>
    </row>
    <row r="153" spans="1:7" ht="12.75" customHeight="1" x14ac:dyDescent="0.2">
      <c r="A153" s="1" t="s">
        <v>12</v>
      </c>
      <c r="B153" s="1" t="s">
        <v>13</v>
      </c>
      <c r="C153" s="1" t="s">
        <v>13</v>
      </c>
      <c r="D153" s="2" t="s">
        <v>14</v>
      </c>
      <c r="E153" s="1" t="s">
        <v>15</v>
      </c>
      <c r="F153" s="3">
        <v>1</v>
      </c>
      <c r="G153" s="1" t="s">
        <v>804</v>
      </c>
    </row>
    <row r="154" spans="1:7" ht="12.75" customHeight="1" x14ac:dyDescent="0.2">
      <c r="A154" s="1" t="s">
        <v>16</v>
      </c>
      <c r="B154" s="1" t="s">
        <v>17</v>
      </c>
      <c r="C154" s="1" t="s">
        <v>17</v>
      </c>
      <c r="D154" s="2" t="s">
        <v>17</v>
      </c>
      <c r="E154" s="1">
        <v>1</v>
      </c>
      <c r="F154" s="3">
        <v>1</v>
      </c>
      <c r="G154" s="1" t="s">
        <v>804</v>
      </c>
    </row>
    <row r="155" spans="1:7" ht="12.75" customHeight="1" x14ac:dyDescent="0.2">
      <c r="A155" s="1" t="s">
        <v>18</v>
      </c>
      <c r="B155" s="1" t="s">
        <v>19</v>
      </c>
      <c r="C155" s="1" t="s">
        <v>19</v>
      </c>
      <c r="D155" s="2" t="s">
        <v>19</v>
      </c>
      <c r="E155" s="1">
        <v>1</v>
      </c>
      <c r="F155" s="3">
        <v>1</v>
      </c>
      <c r="G155" s="1" t="s">
        <v>804</v>
      </c>
    </row>
    <row r="156" spans="1:7" ht="12.75" customHeight="1" x14ac:dyDescent="0.2">
      <c r="A156" s="1" t="s">
        <v>20</v>
      </c>
      <c r="B156" s="1" t="s">
        <v>21</v>
      </c>
      <c r="C156" s="1" t="s">
        <v>22</v>
      </c>
      <c r="D156" s="2" t="s">
        <v>21</v>
      </c>
      <c r="E156" s="1" t="s">
        <v>23</v>
      </c>
      <c r="F156" s="1" t="s">
        <v>23</v>
      </c>
      <c r="G156" s="1" t="s">
        <v>803</v>
      </c>
    </row>
    <row r="157" spans="1:7" ht="12.75" customHeight="1" x14ac:dyDescent="0.2">
      <c r="A157" s="1" t="s">
        <v>24</v>
      </c>
      <c r="B157" s="1" t="s">
        <v>25</v>
      </c>
      <c r="C157" s="1" t="s">
        <v>25</v>
      </c>
      <c r="D157" s="2" t="s">
        <v>25</v>
      </c>
      <c r="E157" s="1">
        <v>1</v>
      </c>
      <c r="F157" s="3">
        <v>1</v>
      </c>
      <c r="G157" s="1" t="s">
        <v>804</v>
      </c>
    </row>
    <row r="158" spans="1:7" ht="12.75" customHeight="1" x14ac:dyDescent="0.2">
      <c r="A158" s="1" t="s">
        <v>26</v>
      </c>
      <c r="B158" s="1" t="s">
        <v>27</v>
      </c>
      <c r="C158" s="1" t="s">
        <v>27</v>
      </c>
      <c r="D158" s="2" t="s">
        <v>27</v>
      </c>
      <c r="E158" s="1">
        <v>1</v>
      </c>
      <c r="F158" s="3">
        <v>1</v>
      </c>
      <c r="G158" s="1" t="s">
        <v>804</v>
      </c>
    </row>
    <row r="159" spans="1:7" ht="12.75" customHeight="1" x14ac:dyDescent="0.2">
      <c r="A159" s="1" t="s">
        <v>28</v>
      </c>
      <c r="B159" s="1" t="s">
        <v>29</v>
      </c>
      <c r="C159" s="1" t="s">
        <v>29</v>
      </c>
      <c r="D159" s="2" t="s">
        <v>29</v>
      </c>
      <c r="E159" s="1">
        <v>1</v>
      </c>
      <c r="F159" s="3">
        <v>1</v>
      </c>
      <c r="G159" s="1" t="s">
        <v>804</v>
      </c>
    </row>
    <row r="160" spans="1:7" ht="12.75" customHeight="1" x14ac:dyDescent="0.2">
      <c r="A160" s="1" t="s">
        <v>30</v>
      </c>
      <c r="B160" s="1" t="s">
        <v>31</v>
      </c>
      <c r="C160" s="1" t="s">
        <v>32</v>
      </c>
      <c r="D160" s="2" t="s">
        <v>33</v>
      </c>
      <c r="E160" s="1">
        <v>1</v>
      </c>
      <c r="F160" s="1" t="s">
        <v>6</v>
      </c>
      <c r="G160" s="1" t="s">
        <v>813</v>
      </c>
    </row>
    <row r="161" spans="1:7" ht="12.75" customHeight="1" x14ac:dyDescent="0.2">
      <c r="A161" s="1" t="s">
        <v>34</v>
      </c>
      <c r="B161" s="1" t="s">
        <v>35</v>
      </c>
      <c r="C161" s="1" t="s">
        <v>35</v>
      </c>
      <c r="D161" s="2" t="s">
        <v>35</v>
      </c>
      <c r="E161" s="1">
        <v>1</v>
      </c>
      <c r="F161" s="3">
        <v>1</v>
      </c>
      <c r="G161" s="1" t="s">
        <v>804</v>
      </c>
    </row>
    <row r="162" spans="1:7" ht="12.75" customHeight="1" x14ac:dyDescent="0.2">
      <c r="A162" s="1" t="s">
        <v>36</v>
      </c>
      <c r="B162" s="1" t="s">
        <v>37</v>
      </c>
      <c r="C162" s="1" t="s">
        <v>37</v>
      </c>
      <c r="D162" s="2" t="s">
        <v>37</v>
      </c>
      <c r="E162" s="1">
        <v>1</v>
      </c>
      <c r="F162" s="3">
        <v>1</v>
      </c>
      <c r="G162" s="1" t="s">
        <v>804</v>
      </c>
    </row>
    <row r="163" spans="1:7" ht="12.75" customHeight="1" x14ac:dyDescent="0.2">
      <c r="A163" s="1" t="s">
        <v>38</v>
      </c>
      <c r="B163" s="1" t="s">
        <v>39</v>
      </c>
      <c r="C163" s="1" t="s">
        <v>39</v>
      </c>
      <c r="D163" s="2" t="s">
        <v>39</v>
      </c>
      <c r="E163" s="1">
        <v>1</v>
      </c>
      <c r="F163" s="3">
        <v>1</v>
      </c>
      <c r="G163" s="1" t="s">
        <v>804</v>
      </c>
    </row>
    <row r="164" spans="1:7" ht="12.75" customHeight="1" x14ac:dyDescent="0.2">
      <c r="A164" s="1" t="s">
        <v>40</v>
      </c>
      <c r="B164" s="1" t="s">
        <v>41</v>
      </c>
      <c r="C164" s="1" t="s">
        <v>41</v>
      </c>
      <c r="D164" s="2" t="s">
        <v>41</v>
      </c>
      <c r="E164" s="1">
        <v>1</v>
      </c>
      <c r="F164" s="3">
        <v>1</v>
      </c>
      <c r="G164" s="1" t="s">
        <v>804</v>
      </c>
    </row>
    <row r="165" spans="1:7" ht="12.75" customHeight="1" x14ac:dyDescent="0.2">
      <c r="A165" s="1" t="s">
        <v>42</v>
      </c>
      <c r="B165" s="1" t="s">
        <v>43</v>
      </c>
      <c r="C165" s="1" t="s">
        <v>43</v>
      </c>
      <c r="D165" s="2" t="s">
        <v>43</v>
      </c>
      <c r="E165" s="1">
        <v>1</v>
      </c>
      <c r="F165" s="3">
        <v>1</v>
      </c>
      <c r="G165" s="1" t="s">
        <v>804</v>
      </c>
    </row>
    <row r="166" spans="1:7" ht="12.75" customHeight="1" x14ac:dyDescent="0.2">
      <c r="A166" s="1" t="s">
        <v>44</v>
      </c>
      <c r="B166" s="1" t="s">
        <v>45</v>
      </c>
      <c r="C166" s="1" t="s">
        <v>45</v>
      </c>
      <c r="D166" s="2" t="s">
        <v>45</v>
      </c>
      <c r="E166" s="1">
        <v>1</v>
      </c>
      <c r="F166" s="1">
        <v>1</v>
      </c>
      <c r="G166" s="1" t="s">
        <v>804</v>
      </c>
    </row>
    <row r="167" spans="1:7" ht="12.75" customHeight="1" x14ac:dyDescent="0.2">
      <c r="A167" s="1" t="s">
        <v>46</v>
      </c>
      <c r="B167" s="1" t="s">
        <v>47</v>
      </c>
      <c r="C167" s="1" t="s">
        <v>47</v>
      </c>
      <c r="D167" s="2" t="s">
        <v>47</v>
      </c>
      <c r="E167" s="1">
        <v>1</v>
      </c>
      <c r="F167" s="1">
        <v>1</v>
      </c>
      <c r="G167" s="1" t="s">
        <v>804</v>
      </c>
    </row>
    <row r="168" spans="1:7" ht="12.75" customHeight="1" x14ac:dyDescent="0.2">
      <c r="A168" s="1" t="s">
        <v>48</v>
      </c>
      <c r="B168" s="1" t="s">
        <v>49</v>
      </c>
      <c r="C168" s="1" t="s">
        <v>49</v>
      </c>
      <c r="D168" s="2" t="s">
        <v>49</v>
      </c>
      <c r="E168" s="1">
        <v>1</v>
      </c>
      <c r="F168" s="1">
        <v>1</v>
      </c>
      <c r="G168" s="1" t="s">
        <v>804</v>
      </c>
    </row>
    <row r="169" spans="1:7" ht="12.75" customHeight="1" x14ac:dyDescent="0.2">
      <c r="A169" s="1" t="s">
        <v>50</v>
      </c>
      <c r="B169" s="1" t="s">
        <v>51</v>
      </c>
      <c r="C169" s="1" t="s">
        <v>51</v>
      </c>
      <c r="D169" s="2" t="s">
        <v>51</v>
      </c>
      <c r="E169" s="1">
        <v>1</v>
      </c>
      <c r="F169" s="1">
        <v>1</v>
      </c>
      <c r="G169" s="1" t="s">
        <v>804</v>
      </c>
    </row>
    <row r="170" spans="1:7" ht="12.75" customHeight="1" x14ac:dyDescent="0.2">
      <c r="A170" s="1" t="s">
        <v>52</v>
      </c>
      <c r="B170" s="1" t="s">
        <v>53</v>
      </c>
      <c r="C170" s="1" t="s">
        <v>53</v>
      </c>
      <c r="D170" s="2" t="s">
        <v>53</v>
      </c>
      <c r="E170" s="1">
        <v>1</v>
      </c>
      <c r="F170" s="1">
        <v>1</v>
      </c>
      <c r="G170" s="1" t="s">
        <v>804</v>
      </c>
    </row>
    <row r="171" spans="1:7" ht="12.75" customHeight="1" x14ac:dyDescent="0.2">
      <c r="A171" s="1" t="s">
        <v>54</v>
      </c>
      <c r="B171" s="1" t="s">
        <v>55</v>
      </c>
      <c r="C171" s="1" t="s">
        <v>55</v>
      </c>
      <c r="D171" s="2" t="s">
        <v>55</v>
      </c>
      <c r="E171" s="1">
        <v>1</v>
      </c>
      <c r="F171" s="1">
        <v>1</v>
      </c>
      <c r="G171" s="1" t="s">
        <v>804</v>
      </c>
    </row>
    <row r="172" spans="1:7" ht="12.75" customHeight="1" x14ac:dyDescent="0.2">
      <c r="A172" s="1" t="s">
        <v>56</v>
      </c>
      <c r="B172" s="1" t="s">
        <v>57</v>
      </c>
      <c r="C172" s="1" t="s">
        <v>57</v>
      </c>
      <c r="D172" s="2" t="s">
        <v>57</v>
      </c>
      <c r="E172" s="1">
        <v>1</v>
      </c>
      <c r="F172" s="1">
        <v>1</v>
      </c>
      <c r="G172" s="1" t="s">
        <v>804</v>
      </c>
    </row>
    <row r="173" spans="1:7" ht="12.75" customHeight="1" x14ac:dyDescent="0.2">
      <c r="A173" s="1" t="s">
        <v>58</v>
      </c>
      <c r="B173" s="1" t="s">
        <v>59</v>
      </c>
      <c r="C173" s="1" t="s">
        <v>60</v>
      </c>
      <c r="D173" s="2" t="s">
        <v>59</v>
      </c>
      <c r="E173" s="1" t="s">
        <v>23</v>
      </c>
      <c r="F173" s="1" t="s">
        <v>23</v>
      </c>
      <c r="G173" s="1" t="s">
        <v>807</v>
      </c>
    </row>
    <row r="174" spans="1:7" ht="12.75" customHeight="1" x14ac:dyDescent="0.2">
      <c r="A174" s="1" t="s">
        <v>61</v>
      </c>
      <c r="B174" s="1" t="s">
        <v>62</v>
      </c>
      <c r="C174" s="1" t="s">
        <v>63</v>
      </c>
      <c r="D174" s="2" t="s">
        <v>62</v>
      </c>
      <c r="E174" s="1" t="s">
        <v>15</v>
      </c>
      <c r="F174" s="1" t="s">
        <v>15</v>
      </c>
      <c r="G174" s="1" t="s">
        <v>803</v>
      </c>
    </row>
    <row r="175" spans="1:7" ht="12.75" customHeight="1" x14ac:dyDescent="0.2">
      <c r="A175" s="1" t="s">
        <v>64</v>
      </c>
      <c r="B175" s="1" t="s">
        <v>65</v>
      </c>
      <c r="C175" s="1" t="s">
        <v>66</v>
      </c>
      <c r="D175" s="2" t="s">
        <v>65</v>
      </c>
      <c r="E175" s="1" t="s">
        <v>23</v>
      </c>
      <c r="F175" s="1" t="s">
        <v>23</v>
      </c>
      <c r="G175" s="1" t="s">
        <v>803</v>
      </c>
    </row>
    <row r="176" spans="1:7" ht="12.75" customHeight="1" x14ac:dyDescent="0.2">
      <c r="A176" s="1" t="s">
        <v>67</v>
      </c>
      <c r="B176" s="1" t="s">
        <v>68</v>
      </c>
      <c r="C176" s="1" t="s">
        <v>69</v>
      </c>
      <c r="D176" s="2" t="s">
        <v>68</v>
      </c>
      <c r="E176" s="1" t="s">
        <v>23</v>
      </c>
      <c r="F176" s="1" t="s">
        <v>23</v>
      </c>
      <c r="G176" s="1" t="s">
        <v>803</v>
      </c>
    </row>
    <row r="177" spans="1:7" ht="12.75" customHeight="1" x14ac:dyDescent="0.2">
      <c r="A177" s="1" t="s">
        <v>70</v>
      </c>
      <c r="B177" s="1" t="s">
        <v>71</v>
      </c>
      <c r="C177" s="1" t="s">
        <v>72</v>
      </c>
      <c r="D177" s="2" t="s">
        <v>71</v>
      </c>
      <c r="E177" s="1" t="s">
        <v>15</v>
      </c>
      <c r="F177" s="1" t="s">
        <v>15</v>
      </c>
      <c r="G177" s="1" t="s">
        <v>803</v>
      </c>
    </row>
    <row r="178" spans="1:7" ht="12.75" customHeight="1" x14ac:dyDescent="0.2">
      <c r="A178" s="1" t="s">
        <v>73</v>
      </c>
      <c r="B178" s="1" t="s">
        <v>74</v>
      </c>
      <c r="C178" s="1" t="s">
        <v>74</v>
      </c>
      <c r="D178" s="2" t="s">
        <v>74</v>
      </c>
      <c r="E178" s="1">
        <v>1</v>
      </c>
      <c r="F178" s="1">
        <v>1</v>
      </c>
      <c r="G178" s="1" t="s">
        <v>804</v>
      </c>
    </row>
    <row r="179" spans="1:7" ht="12.75" customHeight="1" x14ac:dyDescent="0.2">
      <c r="A179" s="1" t="s">
        <v>75</v>
      </c>
      <c r="B179" s="1" t="s">
        <v>76</v>
      </c>
      <c r="C179" s="1" t="s">
        <v>76</v>
      </c>
      <c r="D179" s="2" t="s">
        <v>76</v>
      </c>
      <c r="E179" s="1">
        <v>1</v>
      </c>
      <c r="F179" s="1">
        <v>1</v>
      </c>
      <c r="G179" s="1" t="s">
        <v>804</v>
      </c>
    </row>
    <row r="180" spans="1:7" ht="12.75" customHeight="1" x14ac:dyDescent="0.2">
      <c r="A180" s="1" t="s">
        <v>77</v>
      </c>
      <c r="B180" s="1" t="s">
        <v>78</v>
      </c>
      <c r="C180" s="1" t="s">
        <v>79</v>
      </c>
      <c r="D180" s="2" t="s">
        <v>78</v>
      </c>
      <c r="E180" s="1" t="s">
        <v>15</v>
      </c>
      <c r="F180" s="1" t="s">
        <v>15</v>
      </c>
      <c r="G180" s="1" t="s">
        <v>803</v>
      </c>
    </row>
    <row r="181" spans="1:7" ht="12.75" customHeight="1" x14ac:dyDescent="0.2">
      <c r="A181" s="1" t="s">
        <v>80</v>
      </c>
      <c r="B181" s="1" t="s">
        <v>81</v>
      </c>
      <c r="C181" s="1" t="s">
        <v>81</v>
      </c>
      <c r="D181" s="2" t="s">
        <v>81</v>
      </c>
      <c r="E181" s="1">
        <v>1</v>
      </c>
      <c r="F181" s="1">
        <v>1</v>
      </c>
      <c r="G181" s="1" t="s">
        <v>804</v>
      </c>
    </row>
    <row r="182" spans="1:7" ht="12.75" customHeight="1" x14ac:dyDescent="0.2">
      <c r="A182" s="1" t="s">
        <v>82</v>
      </c>
      <c r="B182" s="1" t="s">
        <v>83</v>
      </c>
      <c r="C182" s="1" t="s">
        <v>84</v>
      </c>
      <c r="D182" s="2" t="s">
        <v>83</v>
      </c>
      <c r="E182" s="1" t="s">
        <v>23</v>
      </c>
      <c r="F182" s="1" t="s">
        <v>23</v>
      </c>
      <c r="G182" s="1" t="s">
        <v>812</v>
      </c>
    </row>
    <row r="183" spans="1:7" ht="12.75" customHeight="1" x14ac:dyDescent="0.2">
      <c r="A183" s="1" t="s">
        <v>85</v>
      </c>
      <c r="B183" s="1" t="s">
        <v>86</v>
      </c>
      <c r="C183" s="1" t="s">
        <v>86</v>
      </c>
      <c r="D183" s="2" t="s">
        <v>86</v>
      </c>
      <c r="E183" s="1">
        <v>1</v>
      </c>
      <c r="F183" s="1">
        <v>1</v>
      </c>
      <c r="G183" s="1" t="s">
        <v>804</v>
      </c>
    </row>
    <row r="184" spans="1:7" ht="12.75" customHeight="1" x14ac:dyDescent="0.2">
      <c r="A184" s="1" t="s">
        <v>87</v>
      </c>
      <c r="B184" s="1" t="s">
        <v>88</v>
      </c>
      <c r="C184" s="1" t="s">
        <v>88</v>
      </c>
      <c r="D184" s="2" t="s">
        <v>88</v>
      </c>
      <c r="E184" s="1">
        <v>1</v>
      </c>
      <c r="F184" s="1">
        <v>1</v>
      </c>
      <c r="G184" s="1" t="s">
        <v>804</v>
      </c>
    </row>
    <row r="185" spans="1:7" ht="12.75" customHeight="1" x14ac:dyDescent="0.2">
      <c r="A185" s="1" t="s">
        <v>89</v>
      </c>
      <c r="B185" s="1" t="s">
        <v>90</v>
      </c>
      <c r="C185" s="1" t="s">
        <v>91</v>
      </c>
      <c r="D185" s="2" t="s">
        <v>91</v>
      </c>
      <c r="E185" s="1">
        <v>1</v>
      </c>
      <c r="F185" s="1" t="s">
        <v>15</v>
      </c>
      <c r="G185" s="1" t="s">
        <v>803</v>
      </c>
    </row>
    <row r="186" spans="1:7" ht="12.75" customHeight="1" x14ac:dyDescent="0.2">
      <c r="A186" s="1" t="s">
        <v>92</v>
      </c>
      <c r="B186" s="1" t="s">
        <v>93</v>
      </c>
      <c r="C186" s="1" t="s">
        <v>93</v>
      </c>
      <c r="D186" s="2" t="s">
        <v>94</v>
      </c>
      <c r="E186" s="1">
        <v>1</v>
      </c>
      <c r="F186" s="1">
        <v>1</v>
      </c>
      <c r="G186" s="1" t="s">
        <v>804</v>
      </c>
    </row>
    <row r="187" spans="1:7" ht="12.75" customHeight="1" x14ac:dyDescent="0.2">
      <c r="A187" s="1" t="s">
        <v>95</v>
      </c>
      <c r="B187" s="1" t="s">
        <v>96</v>
      </c>
      <c r="C187" s="1" t="s">
        <v>96</v>
      </c>
      <c r="D187" s="2" t="s">
        <v>96</v>
      </c>
      <c r="E187" s="1">
        <v>1</v>
      </c>
      <c r="F187" s="1">
        <v>1</v>
      </c>
      <c r="G187" s="1" t="s">
        <v>804</v>
      </c>
    </row>
    <row r="188" spans="1:7" ht="12.75" customHeight="1" x14ac:dyDescent="0.2">
      <c r="A188" s="1" t="s">
        <v>97</v>
      </c>
      <c r="B188" s="1" t="s">
        <v>98</v>
      </c>
      <c r="C188" s="1" t="s">
        <v>99</v>
      </c>
      <c r="D188" s="2" t="s">
        <v>98</v>
      </c>
      <c r="E188" s="1" t="s">
        <v>23</v>
      </c>
      <c r="F188" s="1" t="s">
        <v>23</v>
      </c>
      <c r="G188" s="1" t="s">
        <v>803</v>
      </c>
    </row>
    <row r="189" spans="1:7" ht="12.75" customHeight="1" x14ac:dyDescent="0.2">
      <c r="A189" s="1" t="s">
        <v>100</v>
      </c>
      <c r="B189" s="1" t="s">
        <v>101</v>
      </c>
      <c r="C189" s="1" t="s">
        <v>101</v>
      </c>
      <c r="D189" s="2" t="s">
        <v>101</v>
      </c>
      <c r="E189" s="1">
        <v>1</v>
      </c>
      <c r="F189" s="1">
        <v>1</v>
      </c>
      <c r="G189" s="1" t="s">
        <v>804</v>
      </c>
    </row>
    <row r="190" spans="1:7" ht="12.75" customHeight="1" x14ac:dyDescent="0.2">
      <c r="A190" s="1" t="s">
        <v>102</v>
      </c>
      <c r="B190" s="1" t="s">
        <v>103</v>
      </c>
      <c r="C190" s="1" t="s">
        <v>103</v>
      </c>
      <c r="D190" s="2" t="s">
        <v>103</v>
      </c>
      <c r="E190" s="1">
        <v>1</v>
      </c>
      <c r="F190" s="1">
        <v>1</v>
      </c>
      <c r="G190" s="1" t="s">
        <v>804</v>
      </c>
    </row>
    <row r="191" spans="1:7" ht="12.75" customHeight="1" x14ac:dyDescent="0.2">
      <c r="A191" s="1" t="s">
        <v>104</v>
      </c>
      <c r="B191" s="1" t="s">
        <v>105</v>
      </c>
      <c r="C191" s="1" t="s">
        <v>106</v>
      </c>
      <c r="D191" s="2" t="s">
        <v>105</v>
      </c>
      <c r="E191" s="1">
        <v>1</v>
      </c>
      <c r="F191" s="1">
        <v>1</v>
      </c>
      <c r="G191" s="1" t="s">
        <v>802</v>
      </c>
    </row>
    <row r="192" spans="1:7" ht="12.75" customHeight="1" x14ac:dyDescent="0.2">
      <c r="A192" s="1" t="s">
        <v>107</v>
      </c>
      <c r="B192" s="1" t="s">
        <v>108</v>
      </c>
      <c r="C192" s="1" t="s">
        <v>108</v>
      </c>
      <c r="D192" s="2" t="s">
        <v>108</v>
      </c>
      <c r="E192" s="1">
        <v>1</v>
      </c>
      <c r="F192" s="1">
        <v>1</v>
      </c>
      <c r="G192" s="1" t="s">
        <v>804</v>
      </c>
    </row>
    <row r="193" spans="1:7" ht="12.75" customHeight="1" x14ac:dyDescent="0.2">
      <c r="A193" s="1" t="s">
        <v>109</v>
      </c>
      <c r="B193" s="1" t="s">
        <v>110</v>
      </c>
      <c r="C193" s="1" t="s">
        <v>110</v>
      </c>
      <c r="D193" s="2" t="s">
        <v>111</v>
      </c>
      <c r="E193" s="1">
        <v>1</v>
      </c>
      <c r="F193" s="1">
        <v>1</v>
      </c>
      <c r="G193" s="1" t="s">
        <v>804</v>
      </c>
    </row>
    <row r="194" spans="1:7" ht="12.75" customHeight="1" x14ac:dyDescent="0.2">
      <c r="A194" s="1" t="s">
        <v>112</v>
      </c>
      <c r="B194" s="1" t="s">
        <v>113</v>
      </c>
      <c r="C194" s="1" t="s">
        <v>113</v>
      </c>
      <c r="D194" s="2" t="s">
        <v>113</v>
      </c>
      <c r="E194" s="1">
        <v>1</v>
      </c>
      <c r="F194" s="1">
        <v>1</v>
      </c>
      <c r="G194" s="1" t="s">
        <v>804</v>
      </c>
    </row>
    <row r="195" spans="1:7" ht="12.75" customHeight="1" x14ac:dyDescent="0.2">
      <c r="A195" s="1" t="s">
        <v>114</v>
      </c>
      <c r="B195" s="1" t="s">
        <v>115</v>
      </c>
      <c r="C195" s="1" t="s">
        <v>115</v>
      </c>
      <c r="D195" s="2" t="s">
        <v>115</v>
      </c>
      <c r="E195" s="1">
        <v>1</v>
      </c>
      <c r="F195" s="1">
        <v>1</v>
      </c>
      <c r="G195" s="1" t="s">
        <v>804</v>
      </c>
    </row>
    <row r="196" spans="1:7" ht="12.75" customHeight="1" x14ac:dyDescent="0.2">
      <c r="A196" s="1" t="s">
        <v>116</v>
      </c>
      <c r="B196" s="1" t="s">
        <v>117</v>
      </c>
      <c r="C196" s="1" t="s">
        <v>117</v>
      </c>
      <c r="D196" s="2" t="s">
        <v>117</v>
      </c>
      <c r="E196" s="1">
        <v>1</v>
      </c>
      <c r="F196" s="1">
        <v>1</v>
      </c>
      <c r="G196" s="1" t="s">
        <v>804</v>
      </c>
    </row>
    <row r="197" spans="1:7" ht="12.75" customHeight="1" x14ac:dyDescent="0.2">
      <c r="A197" s="1" t="s">
        <v>118</v>
      </c>
      <c r="B197" s="1" t="s">
        <v>119</v>
      </c>
      <c r="C197" s="1" t="s">
        <v>120</v>
      </c>
      <c r="D197" s="2" t="s">
        <v>119</v>
      </c>
      <c r="E197" s="1" t="s">
        <v>15</v>
      </c>
      <c r="F197" s="1" t="s">
        <v>15</v>
      </c>
      <c r="G197" s="1" t="s">
        <v>802</v>
      </c>
    </row>
    <row r="198" spans="1:7" ht="12.75" customHeight="1" x14ac:dyDescent="0.2">
      <c r="A198" s="1" t="s">
        <v>121</v>
      </c>
      <c r="B198" s="1" t="s">
        <v>122</v>
      </c>
      <c r="C198" s="1" t="s">
        <v>122</v>
      </c>
      <c r="D198" s="2" t="s">
        <v>122</v>
      </c>
      <c r="E198" s="1">
        <v>1</v>
      </c>
      <c r="F198" s="1">
        <v>1</v>
      </c>
      <c r="G198" s="1" t="s">
        <v>804</v>
      </c>
    </row>
    <row r="199" spans="1:7" ht="12.75" customHeight="1" x14ac:dyDescent="0.2">
      <c r="A199" s="1" t="s">
        <v>123</v>
      </c>
      <c r="B199" s="1" t="s">
        <v>124</v>
      </c>
      <c r="C199" s="1" t="s">
        <v>124</v>
      </c>
      <c r="D199" s="2" t="s">
        <v>124</v>
      </c>
      <c r="E199" s="1">
        <v>1</v>
      </c>
      <c r="F199" s="1">
        <v>1</v>
      </c>
      <c r="G199" s="1" t="s">
        <v>804</v>
      </c>
    </row>
    <row r="200" spans="1:7" ht="12.75" customHeight="1" x14ac:dyDescent="0.2">
      <c r="A200" s="1" t="s">
        <v>259</v>
      </c>
      <c r="B200" s="1" t="s">
        <v>260</v>
      </c>
      <c r="C200" s="1" t="s">
        <v>260</v>
      </c>
      <c r="D200" s="2" t="s">
        <v>261</v>
      </c>
      <c r="E200" s="1">
        <v>1</v>
      </c>
      <c r="F200" s="1">
        <v>1</v>
      </c>
      <c r="G200" s="1" t="s">
        <v>804</v>
      </c>
    </row>
    <row r="201" spans="1:7" ht="12.75" customHeight="1" x14ac:dyDescent="0.2">
      <c r="A201" s="1" t="s">
        <v>262</v>
      </c>
      <c r="B201" s="1" t="s">
        <v>263</v>
      </c>
      <c r="C201" s="1" t="s">
        <v>263</v>
      </c>
      <c r="D201" s="2" t="s">
        <v>264</v>
      </c>
      <c r="E201" s="1">
        <v>1</v>
      </c>
      <c r="F201" s="1">
        <v>1</v>
      </c>
      <c r="G201" s="1" t="s">
        <v>804</v>
      </c>
    </row>
    <row r="202" spans="1:7" ht="12.75" customHeight="1" x14ac:dyDescent="0.2">
      <c r="A202" s="1" t="s">
        <v>265</v>
      </c>
      <c r="B202" s="1" t="s">
        <v>266</v>
      </c>
      <c r="C202" s="1" t="s">
        <v>266</v>
      </c>
      <c r="D202" s="2" t="s">
        <v>267</v>
      </c>
      <c r="E202" s="1">
        <v>1</v>
      </c>
      <c r="F202" s="1">
        <v>1</v>
      </c>
      <c r="G202" s="1" t="s">
        <v>804</v>
      </c>
    </row>
    <row r="203" spans="1:7" ht="12.75" customHeight="1" x14ac:dyDescent="0.2">
      <c r="A203" s="1" t="s">
        <v>268</v>
      </c>
      <c r="B203" s="1" t="s">
        <v>269</v>
      </c>
      <c r="C203" s="1" t="s">
        <v>269</v>
      </c>
      <c r="D203" s="2" t="s">
        <v>269</v>
      </c>
      <c r="E203" s="1">
        <v>1</v>
      </c>
      <c r="F203" s="1">
        <v>1</v>
      </c>
      <c r="G203" s="1" t="s">
        <v>804</v>
      </c>
    </row>
    <row r="204" spans="1:7" ht="12.75" customHeight="1" x14ac:dyDescent="0.2">
      <c r="A204" s="1" t="s">
        <v>270</v>
      </c>
      <c r="B204" s="1" t="s">
        <v>271</v>
      </c>
      <c r="C204" s="1" t="s">
        <v>271</v>
      </c>
      <c r="D204" s="2" t="s">
        <v>271</v>
      </c>
      <c r="E204" s="1">
        <v>1</v>
      </c>
      <c r="F204" s="1">
        <v>1</v>
      </c>
      <c r="G204" s="1" t="s">
        <v>804</v>
      </c>
    </row>
    <row r="205" spans="1:7" ht="12.75" customHeight="1" x14ac:dyDescent="0.2">
      <c r="A205" s="1" t="s">
        <v>272</v>
      </c>
      <c r="B205" s="1" t="s">
        <v>273</v>
      </c>
      <c r="C205" s="1" t="s">
        <v>273</v>
      </c>
      <c r="D205" s="2" t="s">
        <v>273</v>
      </c>
      <c r="E205" s="1">
        <v>1</v>
      </c>
      <c r="F205" s="1">
        <v>1</v>
      </c>
      <c r="G205" s="1" t="s">
        <v>804</v>
      </c>
    </row>
    <row r="206" spans="1:7" ht="12.75" customHeight="1" x14ac:dyDescent="0.2">
      <c r="A206" s="1" t="s">
        <v>274</v>
      </c>
      <c r="B206" s="1" t="s">
        <v>275</v>
      </c>
      <c r="C206" s="1" t="s">
        <v>275</v>
      </c>
      <c r="D206" s="2" t="s">
        <v>275</v>
      </c>
      <c r="E206" s="1">
        <v>1</v>
      </c>
      <c r="F206" s="1">
        <v>1</v>
      </c>
      <c r="G206" s="1" t="s">
        <v>804</v>
      </c>
    </row>
    <row r="207" spans="1:7" ht="12.75" customHeight="1" x14ac:dyDescent="0.2">
      <c r="A207" s="1" t="s">
        <v>276</v>
      </c>
      <c r="B207" s="1" t="s">
        <v>277</v>
      </c>
      <c r="C207" s="1" t="s">
        <v>277</v>
      </c>
      <c r="D207" s="2" t="s">
        <v>277</v>
      </c>
      <c r="E207" s="1">
        <v>1</v>
      </c>
      <c r="F207" s="1">
        <v>1</v>
      </c>
      <c r="G207" s="1" t="s">
        <v>804</v>
      </c>
    </row>
    <row r="208" spans="1:7" ht="12.75" customHeight="1" x14ac:dyDescent="0.2">
      <c r="A208" s="1" t="s">
        <v>278</v>
      </c>
      <c r="B208" s="1" t="s">
        <v>279</v>
      </c>
      <c r="C208" s="1" t="s">
        <v>279</v>
      </c>
      <c r="D208" s="2" t="s">
        <v>279</v>
      </c>
      <c r="E208" s="1">
        <v>1</v>
      </c>
      <c r="F208" s="1">
        <v>1</v>
      </c>
      <c r="G208" s="1" t="s">
        <v>804</v>
      </c>
    </row>
    <row r="209" spans="1:7" ht="12.75" customHeight="1" x14ac:dyDescent="0.2">
      <c r="A209" s="1" t="s">
        <v>280</v>
      </c>
      <c r="B209" s="1" t="s">
        <v>281</v>
      </c>
      <c r="C209" s="1" t="s">
        <v>281</v>
      </c>
      <c r="D209" s="2" t="s">
        <v>282</v>
      </c>
      <c r="E209" s="1">
        <v>1</v>
      </c>
      <c r="F209" s="1" t="s">
        <v>15</v>
      </c>
      <c r="G209" s="1" t="s">
        <v>804</v>
      </c>
    </row>
    <row r="210" spans="1:7" ht="12.75" customHeight="1" x14ac:dyDescent="0.2">
      <c r="A210" s="1" t="s">
        <v>283</v>
      </c>
      <c r="B210" s="1" t="s">
        <v>284</v>
      </c>
      <c r="C210" s="1" t="s">
        <v>284</v>
      </c>
      <c r="D210" s="2" t="s">
        <v>284</v>
      </c>
      <c r="E210" s="1">
        <v>1</v>
      </c>
      <c r="F210" s="1">
        <v>1</v>
      </c>
      <c r="G210" s="1" t="s">
        <v>804</v>
      </c>
    </row>
    <row r="211" spans="1:7" ht="12.75" customHeight="1" x14ac:dyDescent="0.2">
      <c r="A211" s="1" t="s">
        <v>285</v>
      </c>
      <c r="B211" s="1" t="s">
        <v>286</v>
      </c>
      <c r="C211" s="1" t="s">
        <v>286</v>
      </c>
      <c r="D211" s="2" t="s">
        <v>286</v>
      </c>
      <c r="E211" s="1">
        <v>1</v>
      </c>
      <c r="F211" s="1">
        <v>1</v>
      </c>
      <c r="G211" s="1" t="s">
        <v>804</v>
      </c>
    </row>
    <row r="212" spans="1:7" ht="12.75" customHeight="1" x14ac:dyDescent="0.2">
      <c r="A212" s="1" t="s">
        <v>287</v>
      </c>
      <c r="B212" s="1" t="s">
        <v>288</v>
      </c>
      <c r="C212" s="1" t="s">
        <v>288</v>
      </c>
      <c r="D212" s="2" t="s">
        <v>289</v>
      </c>
      <c r="E212" s="1">
        <v>1</v>
      </c>
      <c r="F212" s="1">
        <v>1</v>
      </c>
      <c r="G212" s="1" t="s">
        <v>804</v>
      </c>
    </row>
    <row r="213" spans="1:7" ht="12.75" customHeight="1" x14ac:dyDescent="0.2">
      <c r="A213" s="1" t="s">
        <v>290</v>
      </c>
      <c r="B213" s="1" t="s">
        <v>291</v>
      </c>
      <c r="C213" s="1" t="s">
        <v>291</v>
      </c>
      <c r="D213" s="2" t="s">
        <v>292</v>
      </c>
      <c r="E213" s="1">
        <v>1</v>
      </c>
      <c r="F213" s="1">
        <v>1</v>
      </c>
      <c r="G213" s="1" t="s">
        <v>804</v>
      </c>
    </row>
    <row r="214" spans="1:7" ht="12.75" customHeight="1" x14ac:dyDescent="0.2">
      <c r="A214" s="1" t="s">
        <v>293</v>
      </c>
      <c r="B214" s="1" t="s">
        <v>294</v>
      </c>
      <c r="C214" s="1" t="s">
        <v>294</v>
      </c>
      <c r="D214" s="2" t="s">
        <v>294</v>
      </c>
      <c r="E214" s="1">
        <v>1</v>
      </c>
      <c r="F214" s="1">
        <v>1</v>
      </c>
      <c r="G214" s="1" t="s">
        <v>804</v>
      </c>
    </row>
    <row r="215" spans="1:7" ht="12.75" customHeight="1" x14ac:dyDescent="0.2">
      <c r="A215" s="1" t="s">
        <v>295</v>
      </c>
      <c r="B215" s="1" t="s">
        <v>296</v>
      </c>
      <c r="C215" s="1" t="s">
        <v>296</v>
      </c>
      <c r="D215" s="2" t="s">
        <v>297</v>
      </c>
      <c r="E215" s="1">
        <v>1</v>
      </c>
      <c r="F215" s="1">
        <v>1</v>
      </c>
      <c r="G215" s="1" t="s">
        <v>804</v>
      </c>
    </row>
    <row r="216" spans="1:7" ht="12.75" customHeight="1" x14ac:dyDescent="0.2">
      <c r="A216" s="1" t="s">
        <v>298</v>
      </c>
      <c r="B216" s="1" t="s">
        <v>299</v>
      </c>
      <c r="C216" s="1" t="s">
        <v>299</v>
      </c>
      <c r="D216" s="2" t="s">
        <v>300</v>
      </c>
      <c r="E216" s="1">
        <v>1</v>
      </c>
      <c r="F216" s="1">
        <v>1</v>
      </c>
      <c r="G216" s="1" t="s">
        <v>804</v>
      </c>
    </row>
    <row r="217" spans="1:7" ht="12.75" customHeight="1" x14ac:dyDescent="0.2">
      <c r="A217" s="1" t="s">
        <v>301</v>
      </c>
      <c r="B217" s="1" t="s">
        <v>302</v>
      </c>
      <c r="C217" s="1" t="s">
        <v>303</v>
      </c>
      <c r="D217" s="2" t="s">
        <v>302</v>
      </c>
      <c r="E217" s="1" t="s">
        <v>15</v>
      </c>
      <c r="F217" s="1" t="s">
        <v>15</v>
      </c>
      <c r="G217" s="1" t="s">
        <v>803</v>
      </c>
    </row>
    <row r="218" spans="1:7" ht="12.75" customHeight="1" x14ac:dyDescent="0.2">
      <c r="A218" s="1" t="s">
        <v>304</v>
      </c>
      <c r="B218" s="1" t="s">
        <v>305</v>
      </c>
      <c r="C218" s="1" t="s">
        <v>305</v>
      </c>
      <c r="D218" s="2" t="s">
        <v>306</v>
      </c>
      <c r="E218" s="1" t="s">
        <v>15</v>
      </c>
      <c r="F218" s="1" t="s">
        <v>15</v>
      </c>
      <c r="G218" s="1" t="s">
        <v>804</v>
      </c>
    </row>
    <row r="219" spans="1:7" ht="12.75" customHeight="1" x14ac:dyDescent="0.2">
      <c r="A219" s="1" t="s">
        <v>307</v>
      </c>
      <c r="B219" s="1" t="s">
        <v>308</v>
      </c>
      <c r="C219" s="1" t="s">
        <v>309</v>
      </c>
      <c r="D219" s="2" t="s">
        <v>308</v>
      </c>
      <c r="E219" s="1" t="s">
        <v>310</v>
      </c>
      <c r="F219" s="1" t="s">
        <v>15</v>
      </c>
      <c r="G219" s="1" t="s">
        <v>803</v>
      </c>
    </row>
    <row r="220" spans="1:7" ht="12.75" customHeight="1" x14ac:dyDescent="0.2">
      <c r="A220" s="1" t="s">
        <v>311</v>
      </c>
      <c r="B220" s="1" t="s">
        <v>312</v>
      </c>
      <c r="C220" s="1" t="s">
        <v>312</v>
      </c>
      <c r="D220" s="2" t="s">
        <v>313</v>
      </c>
      <c r="E220" s="1">
        <v>1</v>
      </c>
      <c r="F220" s="1">
        <v>1</v>
      </c>
      <c r="G220" s="1" t="s">
        <v>804</v>
      </c>
    </row>
    <row r="221" spans="1:7" ht="12.75" customHeight="1" x14ac:dyDescent="0.2">
      <c r="A221" s="1" t="s">
        <v>314</v>
      </c>
      <c r="B221" s="1" t="s">
        <v>315</v>
      </c>
      <c r="C221" s="1" t="s">
        <v>315</v>
      </c>
      <c r="D221" s="2" t="s">
        <v>316</v>
      </c>
      <c r="E221" s="1">
        <v>1</v>
      </c>
      <c r="F221" s="1">
        <v>1</v>
      </c>
      <c r="G221" s="1" t="s">
        <v>804</v>
      </c>
    </row>
    <row r="222" spans="1:7" ht="12.75" customHeight="1" x14ac:dyDescent="0.2">
      <c r="A222" s="1" t="s">
        <v>317</v>
      </c>
      <c r="B222" s="1" t="s">
        <v>318</v>
      </c>
      <c r="C222" s="1" t="s">
        <v>319</v>
      </c>
      <c r="D222" s="2" t="s">
        <v>320</v>
      </c>
      <c r="E222" s="1" t="s">
        <v>15</v>
      </c>
      <c r="F222" s="1" t="s">
        <v>15</v>
      </c>
      <c r="G222" s="1" t="s">
        <v>803</v>
      </c>
    </row>
    <row r="223" spans="1:7" ht="12.75" customHeight="1" x14ac:dyDescent="0.2">
      <c r="A223" s="1" t="s">
        <v>321</v>
      </c>
      <c r="B223" s="1" t="s">
        <v>322</v>
      </c>
      <c r="C223" s="1" t="s">
        <v>322</v>
      </c>
      <c r="D223" s="2" t="s">
        <v>322</v>
      </c>
      <c r="E223" s="1">
        <v>1</v>
      </c>
      <c r="F223" s="1">
        <v>1</v>
      </c>
      <c r="G223" s="1" t="s">
        <v>804</v>
      </c>
    </row>
    <row r="224" spans="1:7" ht="12.75" customHeight="1" x14ac:dyDescent="0.2">
      <c r="A224" s="1" t="s">
        <v>323</v>
      </c>
      <c r="B224" s="1" t="s">
        <v>324</v>
      </c>
      <c r="C224" s="1" t="s">
        <v>324</v>
      </c>
      <c r="D224" s="2" t="s">
        <v>325</v>
      </c>
      <c r="E224" s="1">
        <v>1</v>
      </c>
      <c r="F224" s="1">
        <v>1</v>
      </c>
      <c r="G224" s="1" t="s">
        <v>804</v>
      </c>
    </row>
    <row r="225" spans="1:7" ht="12.75" customHeight="1" x14ac:dyDescent="0.2">
      <c r="A225" s="1" t="s">
        <v>326</v>
      </c>
      <c r="B225" s="1" t="s">
        <v>327</v>
      </c>
      <c r="C225" s="1" t="s">
        <v>327</v>
      </c>
      <c r="D225" s="2" t="s">
        <v>328</v>
      </c>
      <c r="E225" s="1">
        <v>1</v>
      </c>
      <c r="F225" s="1">
        <v>1</v>
      </c>
      <c r="G225" s="1" t="s">
        <v>804</v>
      </c>
    </row>
    <row r="226" spans="1:7" ht="12.75" customHeight="1" x14ac:dyDescent="0.2">
      <c r="A226" s="1" t="s">
        <v>329</v>
      </c>
      <c r="B226" s="1" t="s">
        <v>330</v>
      </c>
      <c r="C226" s="1" t="s">
        <v>330</v>
      </c>
      <c r="D226" s="2" t="s">
        <v>330</v>
      </c>
      <c r="E226" s="1">
        <v>1</v>
      </c>
      <c r="F226" s="1"/>
      <c r="G226" s="1" t="s">
        <v>804</v>
      </c>
    </row>
    <row r="227" spans="1:7" ht="12.75" customHeight="1" x14ac:dyDescent="0.2">
      <c r="A227" s="1" t="s">
        <v>331</v>
      </c>
      <c r="B227" s="1" t="s">
        <v>332</v>
      </c>
      <c r="C227" s="1" t="s">
        <v>332</v>
      </c>
      <c r="D227" s="2" t="s">
        <v>333</v>
      </c>
      <c r="E227" s="1">
        <v>1</v>
      </c>
      <c r="F227" s="1">
        <v>1</v>
      </c>
      <c r="G227" s="1" t="s">
        <v>804</v>
      </c>
    </row>
    <row r="228" spans="1:7" ht="12.75" customHeight="1" x14ac:dyDescent="0.2">
      <c r="A228" s="1" t="s">
        <v>334</v>
      </c>
      <c r="B228" s="1" t="s">
        <v>335</v>
      </c>
      <c r="C228" s="1" t="s">
        <v>335</v>
      </c>
      <c r="D228" s="2" t="s">
        <v>335</v>
      </c>
      <c r="E228" s="1">
        <v>1</v>
      </c>
      <c r="F228" s="1">
        <v>1</v>
      </c>
      <c r="G228" s="1" t="s">
        <v>804</v>
      </c>
    </row>
    <row r="229" spans="1:7" ht="12.75" customHeight="1" x14ac:dyDescent="0.2">
      <c r="A229" s="1" t="s">
        <v>336</v>
      </c>
      <c r="B229" s="1" t="s">
        <v>337</v>
      </c>
      <c r="C229" s="1" t="s">
        <v>337</v>
      </c>
      <c r="D229" s="2" t="s">
        <v>338</v>
      </c>
      <c r="E229" s="1">
        <v>1</v>
      </c>
      <c r="F229" s="1">
        <v>1</v>
      </c>
      <c r="G229" s="1" t="s">
        <v>804</v>
      </c>
    </row>
    <row r="230" spans="1:7" ht="12.75" customHeight="1" x14ac:dyDescent="0.2">
      <c r="A230" s="1" t="s">
        <v>339</v>
      </c>
      <c r="B230" s="1" t="s">
        <v>340</v>
      </c>
      <c r="C230" s="1" t="s">
        <v>340</v>
      </c>
      <c r="D230" s="2" t="s">
        <v>340</v>
      </c>
      <c r="E230" s="1">
        <v>1</v>
      </c>
      <c r="F230" s="1">
        <v>1</v>
      </c>
      <c r="G230" s="1" t="s">
        <v>804</v>
      </c>
    </row>
    <row r="231" spans="1:7" ht="12.75" customHeight="1" x14ac:dyDescent="0.2">
      <c r="A231" s="1" t="s">
        <v>341</v>
      </c>
      <c r="B231" s="1" t="s">
        <v>342</v>
      </c>
      <c r="C231" s="1" t="s">
        <v>342</v>
      </c>
      <c r="D231" s="2" t="s">
        <v>342</v>
      </c>
      <c r="E231" s="1">
        <v>1</v>
      </c>
      <c r="F231" s="1">
        <v>1</v>
      </c>
      <c r="G231" s="1" t="s">
        <v>804</v>
      </c>
    </row>
    <row r="232" spans="1:7" ht="12.75" customHeight="1" x14ac:dyDescent="0.2">
      <c r="A232" s="1" t="s">
        <v>343</v>
      </c>
      <c r="B232" s="1" t="s">
        <v>344</v>
      </c>
      <c r="C232" s="1" t="s">
        <v>344</v>
      </c>
      <c r="D232" s="2" t="s">
        <v>344</v>
      </c>
      <c r="E232" s="1">
        <v>1</v>
      </c>
      <c r="F232" s="1">
        <v>1</v>
      </c>
      <c r="G232" s="1" t="s">
        <v>804</v>
      </c>
    </row>
    <row r="233" spans="1:7" ht="12.75" customHeight="1" x14ac:dyDescent="0.2">
      <c r="A233" s="1" t="s">
        <v>345</v>
      </c>
      <c r="B233" s="1" t="s">
        <v>346</v>
      </c>
      <c r="C233" s="1" t="s">
        <v>346</v>
      </c>
      <c r="D233" s="2" t="s">
        <v>346</v>
      </c>
      <c r="E233" s="1">
        <v>1</v>
      </c>
      <c r="F233" s="1">
        <v>1</v>
      </c>
      <c r="G233" s="1" t="s">
        <v>804</v>
      </c>
    </row>
    <row r="234" spans="1:7" ht="12.75" customHeight="1" x14ac:dyDescent="0.2">
      <c r="A234" s="1" t="s">
        <v>347</v>
      </c>
      <c r="B234" s="1" t="s">
        <v>348</v>
      </c>
      <c r="C234" s="1" t="s">
        <v>348</v>
      </c>
      <c r="D234" s="2" t="s">
        <v>349</v>
      </c>
      <c r="E234" s="1">
        <v>1</v>
      </c>
      <c r="F234" s="1">
        <v>1</v>
      </c>
      <c r="G234" s="1" t="s">
        <v>804</v>
      </c>
    </row>
    <row r="235" spans="1:7" ht="12.75" customHeight="1" x14ac:dyDescent="0.2">
      <c r="A235" s="1" t="s">
        <v>350</v>
      </c>
      <c r="B235" s="1" t="s">
        <v>351</v>
      </c>
      <c r="C235" s="1" t="s">
        <v>351</v>
      </c>
      <c r="D235" s="2" t="s">
        <v>352</v>
      </c>
      <c r="E235" s="1">
        <v>1</v>
      </c>
      <c r="F235" s="1">
        <v>1</v>
      </c>
      <c r="G235" s="1" t="s">
        <v>804</v>
      </c>
    </row>
    <row r="236" spans="1:7" ht="12.75" customHeight="1" x14ac:dyDescent="0.2">
      <c r="A236" s="1" t="s">
        <v>353</v>
      </c>
      <c r="B236" s="1" t="s">
        <v>354</v>
      </c>
      <c r="C236" s="1" t="s">
        <v>355</v>
      </c>
      <c r="D236" s="2" t="s">
        <v>354</v>
      </c>
      <c r="E236" s="1" t="s">
        <v>15</v>
      </c>
      <c r="F236" s="1" t="s">
        <v>15</v>
      </c>
      <c r="G236" s="1" t="s">
        <v>803</v>
      </c>
    </row>
    <row r="237" spans="1:7" ht="12.75" customHeight="1" x14ac:dyDescent="0.2">
      <c r="A237" s="1" t="s">
        <v>356</v>
      </c>
      <c r="B237" s="1" t="s">
        <v>357</v>
      </c>
      <c r="C237" s="1" t="s">
        <v>357</v>
      </c>
      <c r="D237" s="2" t="s">
        <v>358</v>
      </c>
      <c r="E237" s="1">
        <v>1</v>
      </c>
      <c r="F237" s="1">
        <v>1</v>
      </c>
      <c r="G237" s="1" t="s">
        <v>804</v>
      </c>
    </row>
    <row r="238" spans="1:7" ht="12.75" customHeight="1" x14ac:dyDescent="0.2">
      <c r="A238" s="1" t="s">
        <v>359</v>
      </c>
      <c r="B238" s="1" t="s">
        <v>360</v>
      </c>
      <c r="C238" s="1" t="s">
        <v>360</v>
      </c>
      <c r="D238" s="2" t="s">
        <v>360</v>
      </c>
      <c r="E238" s="1">
        <v>1</v>
      </c>
      <c r="F238" s="1">
        <v>1</v>
      </c>
      <c r="G238" s="1" t="s">
        <v>804</v>
      </c>
    </row>
    <row r="239" spans="1:7" ht="12.75" customHeight="1" x14ac:dyDescent="0.2">
      <c r="A239" s="1" t="s">
        <v>361</v>
      </c>
      <c r="B239" s="1" t="s">
        <v>362</v>
      </c>
      <c r="C239" s="1" t="s">
        <v>362</v>
      </c>
      <c r="D239" s="2" t="s">
        <v>363</v>
      </c>
      <c r="E239" s="1">
        <v>1</v>
      </c>
      <c r="F239" s="1">
        <v>1</v>
      </c>
      <c r="G239" s="1" t="s">
        <v>804</v>
      </c>
    </row>
    <row r="240" spans="1:7" ht="12.75" customHeight="1" x14ac:dyDescent="0.2">
      <c r="A240" s="1" t="s">
        <v>364</v>
      </c>
      <c r="B240" s="1" t="s">
        <v>365</v>
      </c>
      <c r="C240" s="1" t="s">
        <v>365</v>
      </c>
      <c r="D240" s="2" t="s">
        <v>365</v>
      </c>
      <c r="E240" s="1">
        <v>1</v>
      </c>
      <c r="F240" s="1">
        <v>1</v>
      </c>
      <c r="G240" s="1" t="s">
        <v>804</v>
      </c>
    </row>
    <row r="241" spans="1:7" ht="12.75" customHeight="1" x14ac:dyDescent="0.2">
      <c r="A241" s="1" t="s">
        <v>366</v>
      </c>
      <c r="B241" s="1" t="s">
        <v>367</v>
      </c>
      <c r="C241" s="1" t="s">
        <v>367</v>
      </c>
      <c r="D241" s="2" t="s">
        <v>367</v>
      </c>
      <c r="E241" s="1">
        <v>1</v>
      </c>
      <c r="F241" s="1">
        <v>1</v>
      </c>
      <c r="G241" s="1" t="s">
        <v>804</v>
      </c>
    </row>
    <row r="242" spans="1:7" ht="12.75" customHeight="1" x14ac:dyDescent="0.2">
      <c r="A242" s="1" t="s">
        <v>368</v>
      </c>
      <c r="B242" s="1" t="s">
        <v>369</v>
      </c>
      <c r="C242" s="1" t="s">
        <v>369</v>
      </c>
      <c r="D242" s="2" t="s">
        <v>370</v>
      </c>
      <c r="E242" s="1">
        <v>1</v>
      </c>
      <c r="F242" s="1">
        <v>1</v>
      </c>
      <c r="G242" s="1" t="s">
        <v>804</v>
      </c>
    </row>
    <row r="243" spans="1:7" ht="12.75" customHeight="1" x14ac:dyDescent="0.2">
      <c r="A243" s="1" t="s">
        <v>371</v>
      </c>
      <c r="B243" s="1" t="s">
        <v>372</v>
      </c>
      <c r="C243" s="1" t="s">
        <v>373</v>
      </c>
      <c r="D243" s="2" t="s">
        <v>372</v>
      </c>
      <c r="E243" s="1">
        <v>1</v>
      </c>
      <c r="F243" s="1">
        <v>1</v>
      </c>
      <c r="G243" s="1" t="s">
        <v>803</v>
      </c>
    </row>
    <row r="244" spans="1:7" ht="12.75" customHeight="1" x14ac:dyDescent="0.2">
      <c r="A244" s="1" t="s">
        <v>374</v>
      </c>
      <c r="B244" s="1" t="s">
        <v>375</v>
      </c>
      <c r="C244" s="1" t="s">
        <v>375</v>
      </c>
      <c r="D244" s="2" t="s">
        <v>375</v>
      </c>
      <c r="E244" s="1">
        <v>1</v>
      </c>
      <c r="F244" s="1">
        <v>1</v>
      </c>
      <c r="G244" s="1" t="s">
        <v>804</v>
      </c>
    </row>
    <row r="245" spans="1:7" ht="12.75" customHeight="1" x14ac:dyDescent="0.2">
      <c r="A245" s="1" t="s">
        <v>376</v>
      </c>
      <c r="B245" s="1" t="s">
        <v>377</v>
      </c>
      <c r="C245" s="1" t="s">
        <v>377</v>
      </c>
      <c r="D245" s="2" t="s">
        <v>378</v>
      </c>
      <c r="E245" s="1">
        <v>1</v>
      </c>
      <c r="F245" s="1">
        <v>1</v>
      </c>
      <c r="G245" s="1" t="s">
        <v>804</v>
      </c>
    </row>
    <row r="246" spans="1:7" ht="12.75" customHeight="1" x14ac:dyDescent="0.2">
      <c r="A246" s="1" t="s">
        <v>379</v>
      </c>
      <c r="B246" s="1" t="s">
        <v>380</v>
      </c>
      <c r="C246" s="1" t="s">
        <v>380</v>
      </c>
      <c r="D246" s="2" t="s">
        <v>381</v>
      </c>
      <c r="E246" s="1" t="s">
        <v>15</v>
      </c>
      <c r="F246" s="1">
        <v>1</v>
      </c>
      <c r="G246" s="1" t="s">
        <v>804</v>
      </c>
    </row>
    <row r="247" spans="1:7" ht="12.75" customHeight="1" x14ac:dyDescent="0.2">
      <c r="A247" s="1" t="s">
        <v>382</v>
      </c>
      <c r="B247" s="1" t="s">
        <v>383</v>
      </c>
      <c r="C247" s="1" t="s">
        <v>383</v>
      </c>
      <c r="D247" s="2" t="s">
        <v>384</v>
      </c>
      <c r="E247" s="1">
        <v>1</v>
      </c>
      <c r="F247" s="1">
        <v>1</v>
      </c>
      <c r="G247" s="1" t="s">
        <v>804</v>
      </c>
    </row>
    <row r="248" spans="1:7" ht="12.75" customHeight="1" x14ac:dyDescent="0.2">
      <c r="A248" s="1" t="s">
        <v>385</v>
      </c>
      <c r="B248" s="1" t="s">
        <v>386</v>
      </c>
      <c r="C248" s="1" t="s">
        <v>386</v>
      </c>
      <c r="D248" s="2" t="s">
        <v>386</v>
      </c>
      <c r="E248" s="1">
        <v>1</v>
      </c>
      <c r="F248" s="1">
        <v>1</v>
      </c>
      <c r="G248" s="1" t="s">
        <v>804</v>
      </c>
    </row>
    <row r="249" spans="1:7" ht="12.75" customHeight="1" x14ac:dyDescent="0.2">
      <c r="A249" s="1" t="s">
        <v>387</v>
      </c>
      <c r="B249" s="1" t="s">
        <v>388</v>
      </c>
      <c r="C249" s="1" t="s">
        <v>388</v>
      </c>
      <c r="D249" s="2" t="s">
        <v>388</v>
      </c>
      <c r="E249" s="1">
        <v>1</v>
      </c>
      <c r="F249" s="1">
        <v>1</v>
      </c>
      <c r="G249" s="1" t="s">
        <v>804</v>
      </c>
    </row>
    <row r="250" spans="1:7" ht="12.75" customHeight="1" x14ac:dyDescent="0.2">
      <c r="A250" s="1" t="s">
        <v>389</v>
      </c>
      <c r="B250" s="1" t="s">
        <v>390</v>
      </c>
      <c r="C250" s="1" t="s">
        <v>390</v>
      </c>
      <c r="D250" s="2" t="s">
        <v>391</v>
      </c>
      <c r="E250" s="1">
        <v>1</v>
      </c>
      <c r="F250" s="1">
        <v>1</v>
      </c>
      <c r="G250" s="1" t="s">
        <v>804</v>
      </c>
    </row>
    <row r="251" spans="1:7" ht="12.75" customHeight="1" x14ac:dyDescent="0.2">
      <c r="A251" s="1" t="s">
        <v>392</v>
      </c>
      <c r="B251" s="1" t="s">
        <v>393</v>
      </c>
      <c r="C251" s="1" t="s">
        <v>393</v>
      </c>
      <c r="D251" s="2" t="s">
        <v>394</v>
      </c>
      <c r="E251" s="1">
        <v>1</v>
      </c>
      <c r="F251" s="1">
        <v>1</v>
      </c>
      <c r="G251" s="1" t="s">
        <v>804</v>
      </c>
    </row>
    <row r="252" spans="1:7" ht="12.75" customHeight="1" x14ac:dyDescent="0.2">
      <c r="A252" s="1" t="s">
        <v>395</v>
      </c>
      <c r="B252" s="1" t="s">
        <v>396</v>
      </c>
      <c r="C252" s="1" t="s">
        <v>396</v>
      </c>
      <c r="D252" s="2" t="s">
        <v>396</v>
      </c>
      <c r="E252" s="1">
        <v>1</v>
      </c>
      <c r="F252" s="1">
        <v>1</v>
      </c>
      <c r="G252" s="1" t="s">
        <v>804</v>
      </c>
    </row>
    <row r="253" spans="1:7" ht="12.75" customHeight="1" x14ac:dyDescent="0.2">
      <c r="A253" s="1" t="s">
        <v>397</v>
      </c>
      <c r="B253" s="1" t="s">
        <v>398</v>
      </c>
      <c r="C253" s="1" t="s">
        <v>398</v>
      </c>
      <c r="D253" s="2" t="s">
        <v>399</v>
      </c>
      <c r="E253" s="1">
        <v>1</v>
      </c>
      <c r="F253" s="1">
        <v>1</v>
      </c>
      <c r="G253" s="1" t="s">
        <v>804</v>
      </c>
    </row>
    <row r="254" spans="1:7" ht="12.75" customHeight="1" x14ac:dyDescent="0.2">
      <c r="A254" s="1" t="s">
        <v>400</v>
      </c>
      <c r="B254" s="1" t="s">
        <v>401</v>
      </c>
      <c r="C254" s="1" t="s">
        <v>401</v>
      </c>
      <c r="D254" s="2" t="s">
        <v>401</v>
      </c>
      <c r="E254" s="1">
        <v>1</v>
      </c>
      <c r="F254" s="1">
        <v>1</v>
      </c>
      <c r="G254" s="1" t="s">
        <v>804</v>
      </c>
    </row>
    <row r="255" spans="1:7" ht="12.75" customHeight="1" x14ac:dyDescent="0.2">
      <c r="A255" s="1" t="s">
        <v>402</v>
      </c>
      <c r="B255" s="1" t="s">
        <v>403</v>
      </c>
      <c r="C255" s="1" t="s">
        <v>403</v>
      </c>
      <c r="D255" s="2" t="s">
        <v>404</v>
      </c>
      <c r="E255" s="1">
        <v>1</v>
      </c>
      <c r="F255" s="1">
        <v>1</v>
      </c>
      <c r="G255" s="1" t="s">
        <v>804</v>
      </c>
    </row>
    <row r="256" spans="1:7" ht="12.75" customHeight="1" x14ac:dyDescent="0.2">
      <c r="A256" s="1" t="s">
        <v>405</v>
      </c>
      <c r="B256" s="1" t="s">
        <v>406</v>
      </c>
      <c r="C256" s="1" t="s">
        <v>406</v>
      </c>
      <c r="D256" s="2" t="s">
        <v>407</v>
      </c>
      <c r="E256" s="1">
        <v>1</v>
      </c>
      <c r="F256" s="1" t="s">
        <v>15</v>
      </c>
      <c r="G256" s="1" t="s">
        <v>804</v>
      </c>
    </row>
    <row r="257" spans="1:7" ht="12.75" customHeight="1" x14ac:dyDescent="0.2">
      <c r="A257" s="1" t="s">
        <v>408</v>
      </c>
      <c r="B257" s="1" t="s">
        <v>409</v>
      </c>
      <c r="C257" s="1" t="s">
        <v>409</v>
      </c>
      <c r="D257" s="2" t="s">
        <v>409</v>
      </c>
      <c r="E257" s="1">
        <v>1</v>
      </c>
      <c r="F257" s="1">
        <v>1</v>
      </c>
      <c r="G257" s="1" t="s">
        <v>804</v>
      </c>
    </row>
    <row r="258" spans="1:7" ht="12.75" customHeight="1" x14ac:dyDescent="0.2">
      <c r="A258" s="1" t="s">
        <v>410</v>
      </c>
      <c r="B258" s="1" t="s">
        <v>411</v>
      </c>
      <c r="C258" s="1" t="s">
        <v>411</v>
      </c>
      <c r="D258" s="2" t="s">
        <v>412</v>
      </c>
      <c r="E258" s="1">
        <v>1</v>
      </c>
      <c r="F258" s="1">
        <v>1</v>
      </c>
      <c r="G258" s="1" t="s">
        <v>804</v>
      </c>
    </row>
    <row r="259" spans="1:7" ht="12.75" customHeight="1" x14ac:dyDescent="0.2">
      <c r="A259" s="1" t="s">
        <v>413</v>
      </c>
      <c r="B259" s="1" t="s">
        <v>414</v>
      </c>
      <c r="C259" s="1" t="s">
        <v>414</v>
      </c>
      <c r="D259" s="2" t="s">
        <v>414</v>
      </c>
      <c r="E259" s="1">
        <v>1</v>
      </c>
      <c r="F259" s="1">
        <v>1</v>
      </c>
      <c r="G259" s="1" t="s">
        <v>804</v>
      </c>
    </row>
    <row r="260" spans="1:7" ht="12.75" customHeight="1" x14ac:dyDescent="0.25">
      <c r="D260" s="94" t="s">
        <v>837</v>
      </c>
      <c r="E260" s="30">
        <f>SUM(E2:E259)/258</f>
        <v>0.82558139534883723</v>
      </c>
      <c r="F260" s="30">
        <f>SUM(F2:F259)/258</f>
        <v>0.78294573643410847</v>
      </c>
    </row>
    <row r="261" spans="1:7" ht="12.75" customHeight="1" x14ac:dyDescent="0.25">
      <c r="D261" s="27"/>
      <c r="E261" s="30" t="s">
        <v>824</v>
      </c>
      <c r="F261" s="30" t="s">
        <v>825</v>
      </c>
    </row>
    <row r="262" spans="1:7" ht="12.75" customHeight="1" x14ac:dyDescent="0.2">
      <c r="D262" s="94" t="s">
        <v>832</v>
      </c>
      <c r="E262" s="93" t="s">
        <v>879</v>
      </c>
      <c r="F262" s="93" t="s">
        <v>880</v>
      </c>
    </row>
    <row r="263" spans="1:7" ht="12.75" customHeight="1" x14ac:dyDescent="0.2">
      <c r="D263" s="94" t="s">
        <v>828</v>
      </c>
      <c r="E263" s="93" t="s">
        <v>881</v>
      </c>
      <c r="F263" s="93" t="s">
        <v>882</v>
      </c>
    </row>
    <row r="264" spans="1:7" ht="12.75" customHeight="1" x14ac:dyDescent="0.2">
      <c r="D264" s="94" t="s">
        <v>847</v>
      </c>
      <c r="E264" s="93" t="s">
        <v>884</v>
      </c>
      <c r="F264" s="93" t="s">
        <v>883</v>
      </c>
    </row>
    <row r="265" spans="1:7" ht="12.75" customHeight="1" x14ac:dyDescent="0.2"/>
    <row r="266" spans="1:7" ht="12.75" customHeight="1" x14ac:dyDescent="0.2"/>
    <row r="267" spans="1:7" ht="12.75" customHeight="1" x14ac:dyDescent="0.2"/>
    <row r="268" spans="1:7" ht="12.75" customHeight="1" x14ac:dyDescent="0.2"/>
    <row r="269" spans="1:7" ht="12.75" customHeight="1" x14ac:dyDescent="0.2"/>
    <row r="270" spans="1:7" ht="12.75" customHeight="1" x14ac:dyDescent="0.2"/>
    <row r="271" spans="1:7" ht="12.75" customHeight="1" x14ac:dyDescent="0.2"/>
    <row r="272" spans="1:7"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sheetData>
  <pageMargins left="0.7" right="0.7" top="0.75" bottom="0.75"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000"/>
  <sheetViews>
    <sheetView zoomScale="160" zoomScaleNormal="160" workbookViewId="0">
      <selection activeCell="H11" sqref="H11"/>
    </sheetView>
  </sheetViews>
  <sheetFormatPr defaultColWidth="12.5703125" defaultRowHeight="15" customHeight="1" x14ac:dyDescent="0.2"/>
  <cols>
    <col min="1" max="1" width="7.5703125" customWidth="1"/>
    <col min="2" max="2" width="15.42578125" customWidth="1"/>
    <col min="3" max="3" width="11.42578125" customWidth="1"/>
    <col min="4" max="4" width="18.140625" customWidth="1"/>
    <col min="5" max="5" width="11" customWidth="1"/>
    <col min="6" max="6" width="10" customWidth="1"/>
    <col min="7" max="17" width="7.5703125" customWidth="1"/>
    <col min="18" max="18" width="18.42578125" customWidth="1"/>
    <col min="19" max="19" width="24.42578125" customWidth="1"/>
    <col min="20" max="20" width="7.5703125" customWidth="1"/>
    <col min="21" max="21" width="27.7109375" customWidth="1"/>
    <col min="22" max="22" width="23.28515625" customWidth="1"/>
    <col min="23" max="25" width="7.5703125" customWidth="1"/>
  </cols>
  <sheetData>
    <row r="1" spans="1:19" ht="15" customHeight="1" x14ac:dyDescent="0.2">
      <c r="A1" s="96" t="s">
        <v>0</v>
      </c>
      <c r="B1" s="97" t="s">
        <v>824</v>
      </c>
      <c r="C1" s="97" t="s">
        <v>885</v>
      </c>
      <c r="D1" s="97" t="s">
        <v>823</v>
      </c>
      <c r="E1" s="96" t="s">
        <v>824</v>
      </c>
      <c r="F1" s="96" t="s">
        <v>825</v>
      </c>
      <c r="G1" s="96" t="s">
        <v>819</v>
      </c>
      <c r="H1" s="96"/>
    </row>
    <row r="2" spans="1:19" ht="12.75" customHeight="1" thickBot="1" x14ac:dyDescent="0.25">
      <c r="A2" s="1" t="s">
        <v>675</v>
      </c>
      <c r="B2" s="1" t="s">
        <v>676</v>
      </c>
      <c r="C2" s="1" t="s">
        <v>676</v>
      </c>
      <c r="D2" s="8" t="s">
        <v>676</v>
      </c>
      <c r="E2" s="1">
        <v>1</v>
      </c>
      <c r="F2" s="1">
        <v>1</v>
      </c>
      <c r="G2" s="1" t="s">
        <v>804</v>
      </c>
      <c r="R2" s="10" t="s">
        <v>800</v>
      </c>
      <c r="S2" s="10" t="s">
        <v>801</v>
      </c>
    </row>
    <row r="3" spans="1:19" ht="12.75" customHeight="1" thickBot="1" x14ac:dyDescent="0.25">
      <c r="A3" s="1" t="s">
        <v>677</v>
      </c>
      <c r="B3" s="1" t="s">
        <v>678</v>
      </c>
      <c r="C3" s="1" t="s">
        <v>679</v>
      </c>
      <c r="D3" s="2" t="s">
        <v>678</v>
      </c>
      <c r="E3" s="1">
        <v>1</v>
      </c>
      <c r="F3" s="1">
        <v>1</v>
      </c>
      <c r="G3" s="32" t="s">
        <v>803</v>
      </c>
      <c r="R3" s="12" t="s">
        <v>802</v>
      </c>
      <c r="S3" s="5">
        <v>0</v>
      </c>
    </row>
    <row r="4" spans="1:19" ht="12.75" customHeight="1" thickBot="1" x14ac:dyDescent="0.25">
      <c r="A4" s="1" t="s">
        <v>680</v>
      </c>
      <c r="B4" s="1" t="s">
        <v>681</v>
      </c>
      <c r="C4" s="1" t="s">
        <v>681</v>
      </c>
      <c r="D4" s="2" t="s">
        <v>681</v>
      </c>
      <c r="E4" s="1">
        <v>1</v>
      </c>
      <c r="F4" s="1">
        <v>1</v>
      </c>
      <c r="G4" s="1" t="s">
        <v>804</v>
      </c>
      <c r="R4" s="35" t="s">
        <v>803</v>
      </c>
      <c r="S4" s="36">
        <v>15</v>
      </c>
    </row>
    <row r="5" spans="1:19" ht="12.75" customHeight="1" thickBot="1" x14ac:dyDescent="0.25">
      <c r="A5" s="1" t="s">
        <v>682</v>
      </c>
      <c r="B5" s="1" t="s">
        <v>683</v>
      </c>
      <c r="C5" s="1" t="s">
        <v>683</v>
      </c>
      <c r="D5" s="2" t="s">
        <v>683</v>
      </c>
      <c r="E5" s="1">
        <v>1</v>
      </c>
      <c r="F5" s="1">
        <v>1</v>
      </c>
      <c r="G5" s="1" t="s">
        <v>804</v>
      </c>
      <c r="R5" s="12" t="s">
        <v>807</v>
      </c>
      <c r="S5" s="5">
        <v>0</v>
      </c>
    </row>
    <row r="6" spans="1:19" ht="12.75" customHeight="1" x14ac:dyDescent="0.2">
      <c r="A6" s="1" t="s">
        <v>684</v>
      </c>
      <c r="B6" s="1" t="s">
        <v>685</v>
      </c>
      <c r="C6" s="1" t="s">
        <v>685</v>
      </c>
      <c r="D6" s="2" t="s">
        <v>685</v>
      </c>
      <c r="E6" s="1">
        <v>1</v>
      </c>
      <c r="F6" s="1">
        <v>1</v>
      </c>
      <c r="G6" s="1" t="s">
        <v>804</v>
      </c>
      <c r="R6" s="13" t="s">
        <v>804</v>
      </c>
      <c r="S6" s="6">
        <v>31</v>
      </c>
    </row>
    <row r="7" spans="1:19" ht="12.75" customHeight="1" x14ac:dyDescent="0.25">
      <c r="A7" s="1" t="s">
        <v>686</v>
      </c>
      <c r="B7" s="1" t="s">
        <v>687</v>
      </c>
      <c r="C7" s="1" t="s">
        <v>687</v>
      </c>
      <c r="D7" s="2" t="s">
        <v>687</v>
      </c>
      <c r="E7" s="1">
        <v>1</v>
      </c>
      <c r="F7" s="1">
        <v>1</v>
      </c>
      <c r="G7" s="1" t="s">
        <v>804</v>
      </c>
      <c r="R7" s="30" t="s">
        <v>814</v>
      </c>
      <c r="S7" s="31">
        <v>46</v>
      </c>
    </row>
    <row r="8" spans="1:19" ht="12.75" customHeight="1" x14ac:dyDescent="0.2">
      <c r="A8" s="1" t="s">
        <v>688</v>
      </c>
      <c r="B8" s="1" t="s">
        <v>689</v>
      </c>
      <c r="C8" s="1" t="s">
        <v>689</v>
      </c>
      <c r="D8" s="2" t="s">
        <v>689</v>
      </c>
      <c r="E8" s="1" t="s">
        <v>493</v>
      </c>
      <c r="F8" s="1" t="s">
        <v>493</v>
      </c>
      <c r="G8" s="1" t="s">
        <v>804</v>
      </c>
      <c r="R8" s="20"/>
      <c r="S8" s="21"/>
    </row>
    <row r="9" spans="1:19" ht="12.75" customHeight="1" x14ac:dyDescent="0.2">
      <c r="A9" s="1" t="s">
        <v>690</v>
      </c>
      <c r="B9" s="1" t="s">
        <v>691</v>
      </c>
      <c r="C9" s="1" t="s">
        <v>691</v>
      </c>
      <c r="D9" s="2" t="s">
        <v>691</v>
      </c>
      <c r="E9" s="1">
        <v>1</v>
      </c>
      <c r="F9" s="1">
        <v>1</v>
      </c>
      <c r="G9" s="1" t="s">
        <v>804</v>
      </c>
      <c r="R9" s="20"/>
      <c r="S9" s="21"/>
    </row>
    <row r="10" spans="1:19" ht="12.75" customHeight="1" x14ac:dyDescent="0.2">
      <c r="A10" s="1" t="s">
        <v>692</v>
      </c>
      <c r="B10" s="1" t="s">
        <v>693</v>
      </c>
      <c r="C10" s="1" t="s">
        <v>693</v>
      </c>
      <c r="D10" s="2" t="s">
        <v>693</v>
      </c>
      <c r="E10" s="1">
        <v>1</v>
      </c>
      <c r="F10" s="1">
        <v>1</v>
      </c>
      <c r="G10" s="1" t="s">
        <v>804</v>
      </c>
      <c r="R10" s="20"/>
      <c r="S10" s="21"/>
    </row>
    <row r="11" spans="1:19" ht="12.75" customHeight="1" x14ac:dyDescent="0.25">
      <c r="A11" s="1" t="s">
        <v>694</v>
      </c>
      <c r="B11" s="1" t="s">
        <v>695</v>
      </c>
      <c r="C11" s="1" t="s">
        <v>695</v>
      </c>
      <c r="D11" s="2" t="s">
        <v>695</v>
      </c>
      <c r="E11" s="1">
        <v>1</v>
      </c>
      <c r="F11" s="1">
        <v>1</v>
      </c>
      <c r="G11" s="1" t="s">
        <v>804</v>
      </c>
      <c r="R11" s="33"/>
      <c r="S11" s="34"/>
    </row>
    <row r="12" spans="1:19" ht="12.75" customHeight="1" x14ac:dyDescent="0.2">
      <c r="A12" s="1" t="s">
        <v>696</v>
      </c>
      <c r="B12" s="1" t="s">
        <v>697</v>
      </c>
      <c r="C12" s="1" t="s">
        <v>697</v>
      </c>
      <c r="D12" s="2" t="s">
        <v>698</v>
      </c>
      <c r="E12" s="1">
        <v>1</v>
      </c>
      <c r="F12" s="1">
        <v>1</v>
      </c>
      <c r="G12" s="1" t="s">
        <v>804</v>
      </c>
    </row>
    <row r="13" spans="1:19" ht="12.75" customHeight="1" x14ac:dyDescent="0.2">
      <c r="A13" s="1" t="s">
        <v>699</v>
      </c>
      <c r="B13" s="1" t="s">
        <v>700</v>
      </c>
      <c r="C13" s="1" t="s">
        <v>700</v>
      </c>
      <c r="D13" s="2" t="s">
        <v>700</v>
      </c>
      <c r="E13" s="1">
        <v>1</v>
      </c>
      <c r="F13" s="1">
        <v>1</v>
      </c>
      <c r="G13" s="1" t="s">
        <v>804</v>
      </c>
    </row>
    <row r="14" spans="1:19" ht="12.75" customHeight="1" x14ac:dyDescent="0.2">
      <c r="A14" s="1" t="s">
        <v>701</v>
      </c>
      <c r="B14" s="1" t="s">
        <v>702</v>
      </c>
      <c r="C14" s="1" t="s">
        <v>703</v>
      </c>
      <c r="D14" s="2" t="s">
        <v>702</v>
      </c>
      <c r="E14" s="1">
        <v>1</v>
      </c>
      <c r="F14" s="1">
        <v>1</v>
      </c>
      <c r="G14" s="1" t="s">
        <v>803</v>
      </c>
    </row>
    <row r="15" spans="1:19" ht="12.75" customHeight="1" x14ac:dyDescent="0.2">
      <c r="A15" s="1" t="s">
        <v>704</v>
      </c>
      <c r="B15" s="1" t="s">
        <v>705</v>
      </c>
      <c r="C15" s="1" t="s">
        <v>705</v>
      </c>
      <c r="D15" s="2" t="s">
        <v>705</v>
      </c>
      <c r="E15" s="1">
        <v>1</v>
      </c>
      <c r="F15" s="1">
        <v>1</v>
      </c>
      <c r="G15" s="1" t="s">
        <v>804</v>
      </c>
    </row>
    <row r="16" spans="1:19" ht="12.75" customHeight="1" x14ac:dyDescent="0.2">
      <c r="A16" s="1" t="s">
        <v>706</v>
      </c>
      <c r="B16" s="1" t="s">
        <v>707</v>
      </c>
      <c r="C16" s="1" t="s">
        <v>707</v>
      </c>
      <c r="D16" s="2" t="s">
        <v>707</v>
      </c>
      <c r="E16" s="1">
        <v>1</v>
      </c>
      <c r="F16" s="1">
        <v>1</v>
      </c>
      <c r="G16" s="1" t="s">
        <v>804</v>
      </c>
    </row>
    <row r="17" spans="1:7" ht="12.75" customHeight="1" x14ac:dyDescent="0.2">
      <c r="A17" s="1" t="s">
        <v>708</v>
      </c>
      <c r="B17" s="1" t="s">
        <v>709</v>
      </c>
      <c r="C17" s="1" t="s">
        <v>710</v>
      </c>
      <c r="D17" s="2" t="s">
        <v>709</v>
      </c>
      <c r="E17" s="1" t="s">
        <v>15</v>
      </c>
      <c r="F17" s="1" t="s">
        <v>15</v>
      </c>
      <c r="G17" s="1" t="s">
        <v>803</v>
      </c>
    </row>
    <row r="18" spans="1:7" ht="12.75" customHeight="1" x14ac:dyDescent="0.2">
      <c r="A18" s="1" t="s">
        <v>711</v>
      </c>
      <c r="B18" s="1" t="s">
        <v>712</v>
      </c>
      <c r="C18" s="1" t="s">
        <v>712</v>
      </c>
      <c r="D18" s="2" t="s">
        <v>712</v>
      </c>
      <c r="E18" s="1">
        <v>1</v>
      </c>
      <c r="F18" s="1">
        <v>1</v>
      </c>
      <c r="G18" s="1" t="s">
        <v>804</v>
      </c>
    </row>
    <row r="19" spans="1:7" ht="12.75" customHeight="1" x14ac:dyDescent="0.2">
      <c r="A19" s="1" t="s">
        <v>713</v>
      </c>
      <c r="B19" s="1" t="s">
        <v>714</v>
      </c>
      <c r="C19" s="1" t="s">
        <v>714</v>
      </c>
      <c r="D19" s="2" t="s">
        <v>714</v>
      </c>
      <c r="E19" s="1">
        <v>1</v>
      </c>
      <c r="F19" s="1">
        <v>1</v>
      </c>
      <c r="G19" s="1" t="s">
        <v>804</v>
      </c>
    </row>
    <row r="20" spans="1:7" ht="12.75" customHeight="1" x14ac:dyDescent="0.2">
      <c r="A20" s="1" t="s">
        <v>715</v>
      </c>
      <c r="B20" s="1" t="s">
        <v>716</v>
      </c>
      <c r="C20" s="1" t="s">
        <v>717</v>
      </c>
      <c r="D20" s="2" t="s">
        <v>717</v>
      </c>
      <c r="E20" s="1">
        <v>1</v>
      </c>
      <c r="F20" s="1">
        <v>1</v>
      </c>
      <c r="G20" s="1" t="s">
        <v>803</v>
      </c>
    </row>
    <row r="21" spans="1:7" ht="12.75" customHeight="1" x14ac:dyDescent="0.2">
      <c r="A21" s="1" t="s">
        <v>718</v>
      </c>
      <c r="B21" s="1" t="s">
        <v>719</v>
      </c>
      <c r="C21" s="1" t="s">
        <v>719</v>
      </c>
      <c r="D21" s="2" t="s">
        <v>720</v>
      </c>
      <c r="E21" s="1">
        <v>1</v>
      </c>
      <c r="F21" s="1">
        <v>1</v>
      </c>
      <c r="G21" s="1" t="s">
        <v>804</v>
      </c>
    </row>
    <row r="22" spans="1:7" ht="12.75" customHeight="1" x14ac:dyDescent="0.2">
      <c r="A22" s="1" t="s">
        <v>721</v>
      </c>
      <c r="B22" s="1" t="s">
        <v>722</v>
      </c>
      <c r="C22" s="1" t="s">
        <v>722</v>
      </c>
      <c r="D22" s="2" t="s">
        <v>722</v>
      </c>
      <c r="E22" s="1">
        <v>1</v>
      </c>
      <c r="F22" s="1">
        <v>1</v>
      </c>
      <c r="G22" s="1" t="s">
        <v>804</v>
      </c>
    </row>
    <row r="23" spans="1:7" ht="12.75" customHeight="1" x14ac:dyDescent="0.2">
      <c r="A23" s="1" t="s">
        <v>723</v>
      </c>
      <c r="B23" s="1" t="s">
        <v>724</v>
      </c>
      <c r="C23" s="1" t="s">
        <v>724</v>
      </c>
      <c r="D23" s="2" t="s">
        <v>724</v>
      </c>
      <c r="E23" s="1">
        <v>1</v>
      </c>
      <c r="F23" s="1">
        <v>1</v>
      </c>
      <c r="G23" s="1" t="s">
        <v>804</v>
      </c>
    </row>
    <row r="24" spans="1:7" ht="12.75" customHeight="1" x14ac:dyDescent="0.2">
      <c r="A24" s="1" t="s">
        <v>725</v>
      </c>
      <c r="B24" s="1" t="s">
        <v>726</v>
      </c>
      <c r="C24" s="1" t="s">
        <v>726</v>
      </c>
      <c r="D24" s="2" t="s">
        <v>726</v>
      </c>
      <c r="E24" s="1">
        <v>1</v>
      </c>
      <c r="F24" s="1">
        <v>1</v>
      </c>
      <c r="G24" s="1" t="s">
        <v>804</v>
      </c>
    </row>
    <row r="25" spans="1:7" ht="12.75" customHeight="1" x14ac:dyDescent="0.2">
      <c r="A25" s="1" t="s">
        <v>727</v>
      </c>
      <c r="B25" s="1" t="s">
        <v>728</v>
      </c>
      <c r="C25" s="1" t="s">
        <v>729</v>
      </c>
      <c r="D25" s="2" t="s">
        <v>728</v>
      </c>
      <c r="E25" s="1">
        <v>1</v>
      </c>
      <c r="F25" s="1">
        <v>1</v>
      </c>
      <c r="G25" s="1" t="s">
        <v>803</v>
      </c>
    </row>
    <row r="26" spans="1:7" ht="12.75" customHeight="1" x14ac:dyDescent="0.2">
      <c r="A26" s="1" t="s">
        <v>730</v>
      </c>
      <c r="B26" s="1" t="s">
        <v>731</v>
      </c>
      <c r="C26" s="1" t="s">
        <v>732</v>
      </c>
      <c r="D26" s="2" t="s">
        <v>731</v>
      </c>
      <c r="E26" s="1">
        <v>1</v>
      </c>
      <c r="F26" s="1">
        <v>1</v>
      </c>
      <c r="G26" s="1" t="s">
        <v>803</v>
      </c>
    </row>
    <row r="27" spans="1:7" ht="12.75" customHeight="1" x14ac:dyDescent="0.2">
      <c r="A27" s="1" t="s">
        <v>733</v>
      </c>
      <c r="B27" s="1" t="s">
        <v>734</v>
      </c>
      <c r="C27" s="1" t="s">
        <v>735</v>
      </c>
      <c r="D27" s="2" t="s">
        <v>734</v>
      </c>
      <c r="E27" s="1">
        <v>1</v>
      </c>
      <c r="F27" s="1">
        <v>1</v>
      </c>
      <c r="G27" s="1" t="s">
        <v>803</v>
      </c>
    </row>
    <row r="28" spans="1:7" ht="12.75" customHeight="1" x14ac:dyDescent="0.2">
      <c r="A28" s="1" t="s">
        <v>736</v>
      </c>
      <c r="B28" s="1" t="s">
        <v>737</v>
      </c>
      <c r="C28" s="1" t="s">
        <v>737</v>
      </c>
      <c r="D28" s="2" t="s">
        <v>737</v>
      </c>
      <c r="E28" s="1">
        <v>1</v>
      </c>
      <c r="F28" s="1">
        <v>1</v>
      </c>
      <c r="G28" s="1" t="s">
        <v>804</v>
      </c>
    </row>
    <row r="29" spans="1:7" ht="12.75" customHeight="1" x14ac:dyDescent="0.2">
      <c r="A29" s="1" t="s">
        <v>738</v>
      </c>
      <c r="B29" s="1" t="s">
        <v>739</v>
      </c>
      <c r="C29" s="1" t="s">
        <v>740</v>
      </c>
      <c r="D29" s="2" t="s">
        <v>739</v>
      </c>
      <c r="E29" s="1">
        <v>1</v>
      </c>
      <c r="F29" s="1">
        <v>1</v>
      </c>
      <c r="G29" s="1" t="s">
        <v>803</v>
      </c>
    </row>
    <row r="30" spans="1:7" ht="12.75" customHeight="1" x14ac:dyDescent="0.2">
      <c r="A30" s="1" t="s">
        <v>741</v>
      </c>
      <c r="B30" s="1" t="s">
        <v>742</v>
      </c>
      <c r="C30" s="1" t="s">
        <v>742</v>
      </c>
      <c r="D30" s="2" t="s">
        <v>742</v>
      </c>
      <c r="E30" s="1">
        <v>1</v>
      </c>
      <c r="F30" s="1">
        <v>1</v>
      </c>
      <c r="G30" s="1" t="s">
        <v>804</v>
      </c>
    </row>
    <row r="31" spans="1:7" ht="12.75" customHeight="1" x14ac:dyDescent="0.2">
      <c r="A31" s="1" t="s">
        <v>743</v>
      </c>
      <c r="B31" s="1" t="s">
        <v>744</v>
      </c>
      <c r="C31" s="1" t="s">
        <v>744</v>
      </c>
      <c r="D31" s="2" t="s">
        <v>744</v>
      </c>
      <c r="E31" s="1">
        <v>1</v>
      </c>
      <c r="F31" s="1">
        <v>1</v>
      </c>
      <c r="G31" s="1" t="s">
        <v>804</v>
      </c>
    </row>
    <row r="32" spans="1:7" ht="12.75" customHeight="1" x14ac:dyDescent="0.2">
      <c r="A32" s="1" t="s">
        <v>745</v>
      </c>
      <c r="B32" s="1" t="s">
        <v>746</v>
      </c>
      <c r="C32" s="1" t="s">
        <v>746</v>
      </c>
      <c r="D32" s="2" t="s">
        <v>746</v>
      </c>
      <c r="E32" s="1">
        <v>1</v>
      </c>
      <c r="F32" s="1">
        <v>1</v>
      </c>
      <c r="G32" s="1" t="s">
        <v>804</v>
      </c>
    </row>
    <row r="33" spans="1:7" ht="12.75" customHeight="1" x14ac:dyDescent="0.2">
      <c r="A33" s="1" t="s">
        <v>747</v>
      </c>
      <c r="B33" s="1" t="s">
        <v>748</v>
      </c>
      <c r="C33" s="1" t="s">
        <v>749</v>
      </c>
      <c r="D33" s="2" t="s">
        <v>750</v>
      </c>
      <c r="E33" s="1">
        <v>1</v>
      </c>
      <c r="F33" s="1">
        <v>1</v>
      </c>
      <c r="G33" s="1" t="s">
        <v>803</v>
      </c>
    </row>
    <row r="34" spans="1:7" ht="12.75" customHeight="1" x14ac:dyDescent="0.2">
      <c r="A34" s="1" t="s">
        <v>751</v>
      </c>
      <c r="B34" s="1" t="s">
        <v>752</v>
      </c>
      <c r="C34" s="1" t="s">
        <v>753</v>
      </c>
      <c r="D34" s="2" t="s">
        <v>752</v>
      </c>
      <c r="E34" s="1">
        <v>1</v>
      </c>
      <c r="F34" s="1">
        <v>1</v>
      </c>
      <c r="G34" s="1" t="s">
        <v>803</v>
      </c>
    </row>
    <row r="35" spans="1:7" ht="12.75" customHeight="1" x14ac:dyDescent="0.2">
      <c r="A35" s="1" t="s">
        <v>754</v>
      </c>
      <c r="B35" s="1" t="s">
        <v>755</v>
      </c>
      <c r="C35" s="1" t="s">
        <v>756</v>
      </c>
      <c r="D35" s="2" t="s">
        <v>755</v>
      </c>
      <c r="E35" s="1">
        <v>1</v>
      </c>
      <c r="F35" s="1">
        <v>1</v>
      </c>
      <c r="G35" s="32" t="s">
        <v>803</v>
      </c>
    </row>
    <row r="36" spans="1:7" ht="12.75" customHeight="1" x14ac:dyDescent="0.2">
      <c r="A36" s="1" t="s">
        <v>757</v>
      </c>
      <c r="B36" s="1" t="s">
        <v>758</v>
      </c>
      <c r="C36" s="1" t="s">
        <v>758</v>
      </c>
      <c r="D36" s="2" t="s">
        <v>758</v>
      </c>
      <c r="E36" s="1">
        <v>1</v>
      </c>
      <c r="F36" s="1">
        <v>1</v>
      </c>
      <c r="G36" s="1" t="s">
        <v>804</v>
      </c>
    </row>
    <row r="37" spans="1:7" ht="12.75" customHeight="1" x14ac:dyDescent="0.2">
      <c r="A37" s="1" t="s">
        <v>759</v>
      </c>
      <c r="B37" s="1" t="s">
        <v>760</v>
      </c>
      <c r="C37" s="1" t="s">
        <v>761</v>
      </c>
      <c r="D37" s="2" t="s">
        <v>760</v>
      </c>
      <c r="E37" s="1">
        <v>1</v>
      </c>
      <c r="F37" s="1">
        <v>1</v>
      </c>
      <c r="G37" s="32" t="s">
        <v>803</v>
      </c>
    </row>
    <row r="38" spans="1:7" ht="12.75" customHeight="1" x14ac:dyDescent="0.2">
      <c r="A38" s="1" t="s">
        <v>762</v>
      </c>
      <c r="B38" s="1" t="s">
        <v>763</v>
      </c>
      <c r="C38" s="1" t="s">
        <v>763</v>
      </c>
      <c r="D38" s="2" t="s">
        <v>763</v>
      </c>
      <c r="E38" s="1">
        <v>1</v>
      </c>
      <c r="F38" s="1">
        <v>1</v>
      </c>
      <c r="G38" s="1" t="s">
        <v>804</v>
      </c>
    </row>
    <row r="39" spans="1:7" ht="12.75" customHeight="1" x14ac:dyDescent="0.2">
      <c r="A39" s="1" t="s">
        <v>764</v>
      </c>
      <c r="B39" s="1" t="s">
        <v>765</v>
      </c>
      <c r="C39" s="1" t="s">
        <v>766</v>
      </c>
      <c r="D39" s="2" t="s">
        <v>765</v>
      </c>
      <c r="E39" s="1">
        <v>1</v>
      </c>
      <c r="F39" s="1">
        <v>1</v>
      </c>
      <c r="G39" s="1" t="s">
        <v>803</v>
      </c>
    </row>
    <row r="40" spans="1:7" ht="12.75" customHeight="1" x14ac:dyDescent="0.2">
      <c r="A40" s="1" t="s">
        <v>767</v>
      </c>
      <c r="B40" s="1" t="s">
        <v>768</v>
      </c>
      <c r="C40" s="1" t="s">
        <v>769</v>
      </c>
      <c r="D40" s="2" t="s">
        <v>768</v>
      </c>
      <c r="E40" s="1" t="s">
        <v>15</v>
      </c>
      <c r="F40" s="1" t="s">
        <v>15</v>
      </c>
      <c r="G40" s="1" t="s">
        <v>803</v>
      </c>
    </row>
    <row r="41" spans="1:7" ht="12.75" customHeight="1" x14ac:dyDescent="0.2">
      <c r="A41" s="1" t="s">
        <v>770</v>
      </c>
      <c r="B41" s="1" t="s">
        <v>771</v>
      </c>
      <c r="C41" s="1" t="s">
        <v>771</v>
      </c>
      <c r="D41" s="2" t="s">
        <v>771</v>
      </c>
      <c r="E41" s="1">
        <v>1</v>
      </c>
      <c r="F41" s="1">
        <v>1</v>
      </c>
      <c r="G41" s="1" t="s">
        <v>804</v>
      </c>
    </row>
    <row r="42" spans="1:7" ht="12.75" customHeight="1" x14ac:dyDescent="0.2">
      <c r="A42" s="1" t="s">
        <v>772</v>
      </c>
      <c r="B42" s="1" t="s">
        <v>773</v>
      </c>
      <c r="C42" s="1" t="s">
        <v>773</v>
      </c>
      <c r="D42" s="2" t="s">
        <v>773</v>
      </c>
      <c r="E42" s="1" t="s">
        <v>23</v>
      </c>
      <c r="F42" s="1" t="s">
        <v>23</v>
      </c>
      <c r="G42" s="1" t="s">
        <v>804</v>
      </c>
    </row>
    <row r="43" spans="1:7" ht="12.75" customHeight="1" x14ac:dyDescent="0.2">
      <c r="A43" s="1" t="s">
        <v>774</v>
      </c>
      <c r="B43" s="1" t="s">
        <v>775</v>
      </c>
      <c r="C43" s="1" t="s">
        <v>775</v>
      </c>
      <c r="D43" s="2" t="s">
        <v>775</v>
      </c>
      <c r="E43" s="1">
        <v>1</v>
      </c>
      <c r="F43" s="1">
        <v>1</v>
      </c>
      <c r="G43" s="1" t="s">
        <v>804</v>
      </c>
    </row>
    <row r="44" spans="1:7" ht="12.75" customHeight="1" x14ac:dyDescent="0.2">
      <c r="A44" s="1" t="s">
        <v>776</v>
      </c>
      <c r="B44" s="1" t="s">
        <v>777</v>
      </c>
      <c r="C44" s="1" t="s">
        <v>778</v>
      </c>
      <c r="D44" s="2" t="s">
        <v>777</v>
      </c>
      <c r="E44" s="1">
        <v>1</v>
      </c>
      <c r="F44" s="1">
        <v>1</v>
      </c>
      <c r="G44" s="1" t="s">
        <v>803</v>
      </c>
    </row>
    <row r="45" spans="1:7" ht="12.75" customHeight="1" x14ac:dyDescent="0.2">
      <c r="A45" s="1" t="s">
        <v>779</v>
      </c>
      <c r="B45" s="1" t="s">
        <v>780</v>
      </c>
      <c r="C45" s="1" t="s">
        <v>780</v>
      </c>
      <c r="D45" s="2" t="s">
        <v>780</v>
      </c>
      <c r="E45" s="1">
        <v>1</v>
      </c>
      <c r="F45" s="1">
        <v>1</v>
      </c>
      <c r="G45" s="1" t="s">
        <v>804</v>
      </c>
    </row>
    <row r="46" spans="1:7" ht="12.75" customHeight="1" x14ac:dyDescent="0.2">
      <c r="A46" s="1" t="s">
        <v>781</v>
      </c>
      <c r="B46" s="1" t="s">
        <v>782</v>
      </c>
      <c r="C46" s="1" t="s">
        <v>782</v>
      </c>
      <c r="D46" s="2" t="s">
        <v>782</v>
      </c>
      <c r="E46" s="1">
        <v>1</v>
      </c>
      <c r="F46" s="1">
        <v>1</v>
      </c>
      <c r="G46" s="1" t="s">
        <v>804</v>
      </c>
    </row>
    <row r="47" spans="1:7" ht="12.75" customHeight="1" x14ac:dyDescent="0.2">
      <c r="A47" s="1" t="s">
        <v>783</v>
      </c>
      <c r="B47" s="1" t="s">
        <v>784</v>
      </c>
      <c r="C47" s="1" t="s">
        <v>784</v>
      </c>
      <c r="D47" s="2" t="s">
        <v>784</v>
      </c>
      <c r="E47" s="1">
        <v>1</v>
      </c>
      <c r="F47" s="1">
        <v>1</v>
      </c>
      <c r="G47" s="1" t="s">
        <v>804</v>
      </c>
    </row>
    <row r="48" spans="1:7" ht="12.75" customHeight="1" x14ac:dyDescent="0.2">
      <c r="D48" s="94" t="s">
        <v>837</v>
      </c>
      <c r="E48" s="92">
        <f>SUM(E2:E47)/46</f>
        <v>0.91304347826086951</v>
      </c>
      <c r="F48" s="92">
        <f>SUM(F2:F47)/46</f>
        <v>0.91304347826086951</v>
      </c>
    </row>
    <row r="49" spans="4:6" ht="12.75" customHeight="1" x14ac:dyDescent="0.2">
      <c r="D49" s="27"/>
      <c r="E49" s="92" t="s">
        <v>824</v>
      </c>
      <c r="F49" s="92" t="s">
        <v>825</v>
      </c>
    </row>
    <row r="50" spans="4:6" ht="12.75" customHeight="1" x14ac:dyDescent="0.2">
      <c r="D50" s="94" t="s">
        <v>832</v>
      </c>
      <c r="E50" s="93" t="s">
        <v>891</v>
      </c>
      <c r="F50" s="93" t="s">
        <v>890</v>
      </c>
    </row>
    <row r="51" spans="4:6" ht="12.75" customHeight="1" x14ac:dyDescent="0.2">
      <c r="D51" s="94" t="s">
        <v>847</v>
      </c>
      <c r="E51" s="93" t="s">
        <v>886</v>
      </c>
      <c r="F51" s="93" t="s">
        <v>887</v>
      </c>
    </row>
    <row r="52" spans="4:6" ht="12.75" customHeight="1" x14ac:dyDescent="0.2">
      <c r="D52" s="94" t="s">
        <v>828</v>
      </c>
      <c r="E52" s="93" t="s">
        <v>889</v>
      </c>
      <c r="F52" s="93" t="s">
        <v>888</v>
      </c>
    </row>
    <row r="53" spans="4:6" ht="12.75" customHeight="1" x14ac:dyDescent="0.2"/>
    <row r="54" spans="4:6" ht="12.75" customHeight="1" x14ac:dyDescent="0.2"/>
    <row r="55" spans="4:6" ht="12.75" customHeight="1" x14ac:dyDescent="0.2"/>
    <row r="56" spans="4:6" ht="12.75" customHeight="1" x14ac:dyDescent="0.2"/>
    <row r="57" spans="4:6" ht="12.75" customHeight="1" x14ac:dyDescent="0.2"/>
    <row r="58" spans="4:6" ht="12.75" customHeight="1" x14ac:dyDescent="0.2"/>
    <row r="59" spans="4:6" ht="12.75" customHeight="1" x14ac:dyDescent="0.2"/>
    <row r="60" spans="4:6" ht="12.75" customHeight="1" x14ac:dyDescent="0.2"/>
    <row r="61" spans="4:6" ht="12.75" customHeight="1" x14ac:dyDescent="0.2"/>
    <row r="62" spans="4:6" ht="12.75" customHeight="1" x14ac:dyDescent="0.2"/>
    <row r="63" spans="4:6" ht="12.75" customHeight="1" x14ac:dyDescent="0.2"/>
    <row r="64" spans="4:6"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000"/>
  <sheetViews>
    <sheetView workbookViewId="0">
      <selection activeCell="H28" sqref="H28"/>
    </sheetView>
  </sheetViews>
  <sheetFormatPr defaultColWidth="12.5703125" defaultRowHeight="15" customHeight="1" x14ac:dyDescent="0.2"/>
  <cols>
    <col min="1" max="1" width="7.5703125" customWidth="1"/>
    <col min="2" max="2" width="12.85546875" customWidth="1"/>
    <col min="3" max="3" width="21.140625" customWidth="1"/>
    <col min="4" max="4" width="33" customWidth="1"/>
    <col min="5" max="5" width="15.28515625" customWidth="1"/>
    <col min="6" max="6" width="16.140625" customWidth="1"/>
    <col min="7" max="7" width="13.140625" customWidth="1"/>
    <col min="8" max="14" width="7.5703125" customWidth="1"/>
    <col min="15" max="15" width="13.42578125" customWidth="1"/>
    <col min="16" max="16" width="14.5703125" customWidth="1"/>
    <col min="17" max="17" width="29.5703125" customWidth="1"/>
    <col min="18" max="18" width="22.7109375" customWidth="1"/>
    <col min="19" max="23" width="7.5703125" customWidth="1"/>
  </cols>
  <sheetData>
    <row r="1" spans="1:18" ht="15" customHeight="1" x14ac:dyDescent="0.2">
      <c r="A1" s="96" t="s">
        <v>0</v>
      </c>
      <c r="B1" s="97" t="s">
        <v>824</v>
      </c>
      <c r="C1" s="96" t="s">
        <v>892</v>
      </c>
      <c r="D1" s="97" t="s">
        <v>823</v>
      </c>
      <c r="E1" s="96"/>
      <c r="F1" s="96"/>
      <c r="G1" s="96" t="s">
        <v>819</v>
      </c>
    </row>
    <row r="2" spans="1:18" ht="12.75" customHeight="1" x14ac:dyDescent="0.2">
      <c r="A2" s="1" t="s">
        <v>785</v>
      </c>
      <c r="B2" s="1" t="s">
        <v>786</v>
      </c>
      <c r="C2" s="1" t="s">
        <v>786</v>
      </c>
      <c r="D2" s="2" t="s">
        <v>786</v>
      </c>
      <c r="E2" s="1">
        <v>1</v>
      </c>
      <c r="F2" s="1">
        <v>1</v>
      </c>
      <c r="G2" s="1" t="s">
        <v>804</v>
      </c>
    </row>
    <row r="3" spans="1:18" ht="12.75" customHeight="1" x14ac:dyDescent="0.2">
      <c r="A3" s="1" t="s">
        <v>787</v>
      </c>
      <c r="B3" s="1" t="s">
        <v>788</v>
      </c>
      <c r="C3" s="1" t="s">
        <v>788</v>
      </c>
      <c r="D3" s="2" t="s">
        <v>788</v>
      </c>
      <c r="E3" s="1" t="s">
        <v>15</v>
      </c>
      <c r="F3" s="1" t="s">
        <v>15</v>
      </c>
      <c r="G3" s="1" t="s">
        <v>804</v>
      </c>
    </row>
    <row r="4" spans="1:18" ht="12.75" customHeight="1" x14ac:dyDescent="0.2">
      <c r="A4" s="1" t="s">
        <v>789</v>
      </c>
      <c r="B4" s="1" t="s">
        <v>790</v>
      </c>
      <c r="C4" s="1" t="s">
        <v>790</v>
      </c>
      <c r="D4" s="2" t="s">
        <v>790</v>
      </c>
      <c r="E4" s="1">
        <v>1</v>
      </c>
      <c r="F4" s="1">
        <v>1</v>
      </c>
      <c r="G4" s="1" t="s">
        <v>804</v>
      </c>
    </row>
    <row r="5" spans="1:18" ht="12.75" customHeight="1" x14ac:dyDescent="0.2">
      <c r="A5" s="1" t="s">
        <v>791</v>
      </c>
      <c r="B5" s="1" t="s">
        <v>792</v>
      </c>
      <c r="C5" s="1" t="s">
        <v>792</v>
      </c>
      <c r="D5" s="2" t="s">
        <v>792</v>
      </c>
      <c r="E5" s="1">
        <v>1</v>
      </c>
      <c r="F5" s="1">
        <v>1</v>
      </c>
      <c r="G5" s="1" t="s">
        <v>804</v>
      </c>
    </row>
    <row r="6" spans="1:18" ht="12.75" customHeight="1" x14ac:dyDescent="0.2">
      <c r="A6" s="1" t="s">
        <v>793</v>
      </c>
      <c r="B6" s="1" t="s">
        <v>794</v>
      </c>
      <c r="C6" s="1" t="s">
        <v>794</v>
      </c>
      <c r="D6" s="2" t="s">
        <v>794</v>
      </c>
      <c r="E6" s="1">
        <v>1</v>
      </c>
      <c r="F6" s="1">
        <v>1</v>
      </c>
      <c r="G6" s="1" t="s">
        <v>804</v>
      </c>
      <c r="Q6" s="10" t="s">
        <v>800</v>
      </c>
      <c r="R6" s="10" t="s">
        <v>801</v>
      </c>
    </row>
    <row r="7" spans="1:18" ht="12.75" customHeight="1" x14ac:dyDescent="0.2">
      <c r="A7" s="1" t="s">
        <v>795</v>
      </c>
      <c r="B7" s="1" t="s">
        <v>796</v>
      </c>
      <c r="C7" s="1" t="s">
        <v>796</v>
      </c>
      <c r="D7" s="2" t="s">
        <v>796</v>
      </c>
      <c r="E7" s="1">
        <v>1</v>
      </c>
      <c r="F7" s="1">
        <v>1</v>
      </c>
      <c r="G7" s="1" t="s">
        <v>804</v>
      </c>
      <c r="Q7" s="11" t="s">
        <v>804</v>
      </c>
      <c r="R7" s="7">
        <v>7</v>
      </c>
    </row>
    <row r="8" spans="1:18" ht="12.75" customHeight="1" x14ac:dyDescent="0.2">
      <c r="A8" s="1" t="s">
        <v>797</v>
      </c>
      <c r="B8" s="1" t="s">
        <v>798</v>
      </c>
      <c r="C8" s="1" t="s">
        <v>798</v>
      </c>
      <c r="D8" s="2" t="s">
        <v>798</v>
      </c>
      <c r="E8" s="1">
        <v>1</v>
      </c>
      <c r="F8" s="1">
        <v>1</v>
      </c>
      <c r="G8" s="1" t="s">
        <v>804</v>
      </c>
      <c r="Q8" s="28" t="s">
        <v>805</v>
      </c>
      <c r="R8" s="28">
        <v>7</v>
      </c>
    </row>
    <row r="9" spans="1:18" ht="12.75" customHeight="1" x14ac:dyDescent="0.2"/>
    <row r="10" spans="1:18" ht="12.75" customHeight="1" x14ac:dyDescent="0.2"/>
    <row r="11" spans="1:18" ht="12.75" customHeight="1" x14ac:dyDescent="0.2"/>
    <row r="12" spans="1:18" ht="12.75" customHeight="1" x14ac:dyDescent="0.2">
      <c r="B12" s="9"/>
    </row>
    <row r="13" spans="1:18" ht="12.75" customHeight="1" x14ac:dyDescent="0.2"/>
    <row r="14" spans="1:18" ht="12.75" customHeight="1" x14ac:dyDescent="0.2"/>
    <row r="15" spans="1:18" ht="12.75" customHeight="1" x14ac:dyDescent="0.25">
      <c r="N15" s="94" t="s">
        <v>837</v>
      </c>
      <c r="O15" s="98">
        <f>SUM(E2:E8)/7</f>
        <v>0.8571428571428571</v>
      </c>
      <c r="P15" s="98">
        <f>SUM(F2:F8)/7</f>
        <v>0.8571428571428571</v>
      </c>
    </row>
    <row r="16" spans="1:18" ht="12.75" customHeight="1" x14ac:dyDescent="0.25">
      <c r="N16" s="27"/>
      <c r="O16" s="30" t="s">
        <v>824</v>
      </c>
      <c r="P16" s="30" t="s">
        <v>825</v>
      </c>
    </row>
    <row r="17" spans="14:16" ht="12.75" customHeight="1" x14ac:dyDescent="0.2">
      <c r="N17" s="103" t="s">
        <v>832</v>
      </c>
      <c r="O17" s="104" t="s">
        <v>894</v>
      </c>
      <c r="P17" s="104" t="s">
        <v>894</v>
      </c>
    </row>
    <row r="18" spans="14:16" ht="12.75" customHeight="1" x14ac:dyDescent="0.2">
      <c r="N18" s="103" t="s">
        <v>828</v>
      </c>
      <c r="O18" s="104">
        <v>0</v>
      </c>
      <c r="P18" s="104">
        <v>0</v>
      </c>
    </row>
    <row r="19" spans="14:16" ht="12.75" customHeight="1" x14ac:dyDescent="0.2">
      <c r="N19" s="103" t="s">
        <v>831</v>
      </c>
      <c r="O19" s="104" t="s">
        <v>893</v>
      </c>
      <c r="P19" s="104" t="s">
        <v>893</v>
      </c>
    </row>
    <row r="20" spans="14:16" ht="12.75" customHeight="1" x14ac:dyDescent="0.2"/>
    <row r="21" spans="14:16" ht="12.75" customHeight="1" x14ac:dyDescent="0.2"/>
    <row r="22" spans="14:16" ht="12.75" customHeight="1" x14ac:dyDescent="0.2"/>
    <row r="23" spans="14:16" ht="12.75" customHeight="1" x14ac:dyDescent="0.2"/>
    <row r="24" spans="14:16" ht="12.75" customHeight="1" x14ac:dyDescent="0.2"/>
    <row r="25" spans="14:16" ht="12.75" customHeight="1" x14ac:dyDescent="0.2"/>
    <row r="26" spans="14:16" ht="12.75" customHeight="1" x14ac:dyDescent="0.2"/>
    <row r="27" spans="14:16" ht="12.75" customHeight="1" x14ac:dyDescent="0.2"/>
    <row r="28" spans="14:16" ht="12.75" customHeight="1" x14ac:dyDescent="0.2"/>
    <row r="29" spans="14:16" ht="12.75" customHeight="1" x14ac:dyDescent="0.2"/>
    <row r="30" spans="14:16" ht="12.75" customHeight="1" x14ac:dyDescent="0.2"/>
    <row r="31" spans="14:16" ht="12.75" customHeight="1" x14ac:dyDescent="0.2"/>
    <row r="32" spans="14:16"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output_with_finetuned</vt:lpstr>
      <vt:lpstr>ChatGPT – Medicine</vt:lpstr>
      <vt:lpstr>ChatGPT – Legal</vt:lpstr>
      <vt:lpstr>ChatGPT – Fiction</vt:lpstr>
      <vt:lpstr>ChatGPT – Oral</vt:lpstr>
      <vt:lpstr>ChatGPT – Scientific</vt:lpstr>
      <vt:lpstr>Chatgpt</vt:lpstr>
      <vt:lpstr>Medical Corpus</vt:lpstr>
      <vt:lpstr>Scientific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Жунусова Алия Жигеровна</cp:lastModifiedBy>
  <dcterms:created xsi:type="dcterms:W3CDTF">2025-08-11T10:17:19Z</dcterms:created>
  <dcterms:modified xsi:type="dcterms:W3CDTF">2025-11-10T13:12:56Z</dcterms:modified>
</cp:coreProperties>
</file>